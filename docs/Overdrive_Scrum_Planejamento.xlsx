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ão Geral" sheetId="1" state="visible" r:id="rId3"/>
    <sheet name="Backlog do Produto" sheetId="2" state="visible" r:id="rId4"/>
    <sheet name="Backlog da Sprint" sheetId="3" state="visible" r:id="rId5"/>
    <sheet name="Cerimônias" sheetId="4" state="visible" r:id="rId6"/>
    <sheet name="Cartões Trello" sheetId="5" state="visible" r:id="rId7"/>
    <sheet name="Guia Trello" sheetId="6" state="visible" r:id="rId8"/>
  </sheets>
  <definedNames>
    <definedName function="false" hidden="true" localSheetId="2" name="_xlnm._FilterDatabase" vbProcedure="false">'Backlog da Sprint'!$A$3:$K$80</definedName>
    <definedName function="false" hidden="true" localSheetId="1" name="_xlnm._FilterDatabase" vbProcedure="false">'Backlog do Produto'!$A$3:$K$26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<sst xmlns="http://schemas.openxmlformats.org/spreadsheetml/2006/main" count="974" uniqueCount="547">
  <si>
    <t xml:space="preserve">Overdrive - Planejamento Scrum</t>
  </si>
  <si>
    <t xml:space="preserve">Equipe: Alan Filipe, Gustavo Lona e Pedro Moraes. Células em azul são premissas que podem ser alteradas.</t>
  </si>
  <si>
    <t xml:space="preserve">Papel</t>
  </si>
  <si>
    <t xml:space="preserve">Pessoa</t>
  </si>
  <si>
    <t xml:space="preserve">Responsabilidade</t>
  </si>
  <si>
    <t xml:space="preserve">Product Owner</t>
  </si>
  <si>
    <t xml:space="preserve">Pedro Moraes</t>
  </si>
  <si>
    <t xml:space="preserve">Dono do backlog do produto: prioriza os itens e aceita (ou não) as entregas na Review.</t>
  </si>
  <si>
    <t xml:space="preserve">Scrum Master</t>
  </si>
  <si>
    <t xml:space="preserve">Alan Filipe</t>
  </si>
  <si>
    <t xml:space="preserve">Facilita as cerimônias, remove impedimentos e garante que o time siga o Scrum.</t>
  </si>
  <si>
    <t xml:space="preserve">Time de Desenvolvimento</t>
  </si>
  <si>
    <t xml:space="preserve">Alan Filipe, Gustavo Lona e Pedro Moraes</t>
  </si>
  <si>
    <t xml:space="preserve">Planeja, constrói e testa o incremento de cada sprint.</t>
  </si>
  <si>
    <t xml:space="preserve">Parâmetros de custo</t>
  </si>
  <si>
    <t xml:space="preserve">Valor da hora de desenvolvimento (R$)</t>
  </si>
  <si>
    <t xml:space="preserve">Premissa da equipe (estimativa), não é salário real.</t>
  </si>
  <si>
    <t xml:space="preserve">Sprint</t>
  </si>
  <si>
    <t xml:space="preserve">Nome</t>
  </si>
  <si>
    <t xml:space="preserve">Início</t>
  </si>
  <si>
    <t xml:space="preserve">Fim</t>
  </si>
  <si>
    <t xml:space="preserve">Dias úteis</t>
  </si>
  <si>
    <t xml:space="preserve">Pontos</t>
  </si>
  <si>
    <t xml:space="preserve">Horas</t>
  </si>
  <si>
    <t xml:space="preserve">Custo (R$)</t>
  </si>
  <si>
    <t xml:space="preserve">Meta da sprint</t>
  </si>
  <si>
    <t xml:space="preserve">Sprint 0 - Planejamento e Requisitos</t>
  </si>
  <si>
    <t xml:space="preserve">Levantar requisitos, modelar o sistema e montar o backlog e o quadro Kanban.</t>
  </si>
  <si>
    <t xml:space="preserve">Sprint 1 - Base do sistema</t>
  </si>
  <si>
    <t xml:space="preserve">Ter a base do sistema rodando, com login por perfil e cadastro de clientes e veículos.</t>
  </si>
  <si>
    <t xml:space="preserve">Sprint 2 - Ordem de Serviço</t>
  </si>
  <si>
    <t xml:space="preserve">Abrir uma OS completa (com checklist), consultar histórico, agendar atendimentos e cadastrar peças.</t>
  </si>
  <si>
    <t xml:space="preserve">Sprint 3 - Ciclo da OS</t>
  </si>
  <si>
    <t xml:space="preserve">Fechar o ciclo da OS: orçamento, aprovação, status e encerramento com baixa de estoque.</t>
  </si>
  <si>
    <t xml:space="preserve">Sprint 4 - Gestão e entrega</t>
  </si>
  <si>
    <t xml:space="preserve">Completar notificações, alertas, financeiro e relatórios; testar e preparar a entrega final.</t>
  </si>
  <si>
    <t xml:space="preserve">-</t>
  </si>
  <si>
    <t xml:space="preserve">Sem sprint (fora do prazo)</t>
  </si>
  <si>
    <t xml:space="preserve">Backup e auditoria ficam para depois da entrega, se sobrar tempo.</t>
  </si>
  <si>
    <t xml:space="preserve">Total</t>
  </si>
  <si>
    <t xml:space="preserve">Custos de infraestrutura (opcional)</t>
  </si>
  <si>
    <t xml:space="preserve">Item</t>
  </si>
  <si>
    <t xml:space="preserve">Valor unitário (R$)</t>
  </si>
  <si>
    <t xml:space="preserve">Quantidade</t>
  </si>
  <si>
    <t xml:space="preserve">Unidade</t>
  </si>
  <si>
    <t xml:space="preserve">Total (R$)</t>
  </si>
  <si>
    <t xml:space="preserve">Hospedagem do sistema (servidor/VPS)</t>
  </si>
  <si>
    <t xml:space="preserve">mês</t>
  </si>
  <si>
    <t xml:space="preserve">Domínio .com.br</t>
  </si>
  <si>
    <t xml:space="preserve">ano</t>
  </si>
  <si>
    <t xml:space="preserve">API de WhatsApp/e-mail (plano de testes)</t>
  </si>
  <si>
    <t xml:space="preserve">período</t>
  </si>
  <si>
    <t xml:space="preserve">Total infraestrutura</t>
  </si>
  <si>
    <t xml:space="preserve">Custo total provável (mão de obra + infraestrutura)</t>
  </si>
  <si>
    <t xml:space="preserve">Backlog do Produto</t>
  </si>
  <si>
    <t xml:space="preserve">Itens ordenados por sprint. Horas e custo vêm da aba Backlog da Sprint (fórmulas).</t>
  </si>
  <si>
    <t xml:space="preserve">ID</t>
  </si>
  <si>
    <t xml:space="preserve">Épico</t>
  </si>
  <si>
    <t xml:space="preserve">História de usuário</t>
  </si>
  <si>
    <t xml:space="preserve">Requisitos</t>
  </si>
  <si>
    <t xml:space="preserve">Prioridade</t>
  </si>
  <si>
    <t xml:space="preserve">Responsável</t>
  </si>
  <si>
    <t xml:space="preserve">Status</t>
  </si>
  <si>
    <t xml:space="preserve">PB01</t>
  </si>
  <si>
    <t xml:space="preserve">Infraestrutura</t>
  </si>
  <si>
    <t xml:space="preserve">Como time, quero configurar o ambiente, o repositório e o banco de dados, para começar a desenvolver com a base organizada.</t>
  </si>
  <si>
    <t xml:space="preserve">RNF14</t>
  </si>
  <si>
    <t xml:space="preserve">Alta</t>
  </si>
  <si>
    <t xml:space="preserve">Gustavo Lona</t>
  </si>
  <si>
    <t xml:space="preserve">A fazer</t>
  </si>
  <si>
    <t xml:space="preserve">PB02</t>
  </si>
  <si>
    <t xml:space="preserve">Como time, quero modelar o banco de dados, para guardar clientes, veículos, OS, peças e contas de forma consistente.</t>
  </si>
  <si>
    <t xml:space="preserve">RF02, RF03, RF06, RF13, RF16</t>
  </si>
  <si>
    <t xml:space="preserve">PB03</t>
  </si>
  <si>
    <t xml:space="preserve">Acesso e Segurança</t>
  </si>
  <si>
    <t xml:space="preserve">Como funcionário, quero fazer login com usuário e senha, para acessar apenas as telas do meu perfil.</t>
  </si>
  <si>
    <t xml:space="preserve">RF01, RNF10, RNF11</t>
  </si>
  <si>
    <t xml:space="preserve">PB04</t>
  </si>
  <si>
    <t xml:space="preserve">Como administrador, quero cadastrar funcionários e definir o perfil de cada um, para que cada pessoa veja só o que é da sua função.</t>
  </si>
  <si>
    <t xml:space="preserve">RF18, RF01</t>
  </si>
  <si>
    <t xml:space="preserve">Média</t>
  </si>
  <si>
    <t xml:space="preserve">PB05</t>
  </si>
  <si>
    <t xml:space="preserve">Cadastros</t>
  </si>
  <si>
    <t xml:space="preserve">Como recepcionista, quero cadastrar clientes com nome, CPF e telefone, para ter os dados à mão nos próximos atendimentos.</t>
  </si>
  <si>
    <t xml:space="preserve">RF02, RNF05</t>
  </si>
  <si>
    <t xml:space="preserve">PB06</t>
  </si>
  <si>
    <t xml:space="preserve">Como recepcionista, quero cadastrar veículos vinculados a um cliente, para identificar rápido qual carro está sendo atendido.</t>
  </si>
  <si>
    <t xml:space="preserve">RF03, RNF05</t>
  </si>
  <si>
    <t xml:space="preserve">PB07</t>
  </si>
  <si>
    <t xml:space="preserve">Ordem de Serviço</t>
  </si>
  <si>
    <t xml:space="preserve">Como recepcionista, quero abrir uma OS informando placa, km e problema relatado, para registrar a entrada do veículo.</t>
  </si>
  <si>
    <t xml:space="preserve">RF06, RNF03, RNF09</t>
  </si>
  <si>
    <t xml:space="preserve">Backlog</t>
  </si>
  <si>
    <t xml:space="preserve">PB08</t>
  </si>
  <si>
    <t xml:space="preserve">Como recepcionista, quero registrar o checklist de entrada, para evitar discussões sobre danos que já existiam.</t>
  </si>
  <si>
    <t xml:space="preserve">RF07</t>
  </si>
  <si>
    <t xml:space="preserve">PB09</t>
  </si>
  <si>
    <t xml:space="preserve">Como mecânico, quero consultar o histórico de serviços de um veículo pela placa, para diagnosticar com base nas manutenções anteriores.</t>
  </si>
  <si>
    <t xml:space="preserve">RF04</t>
  </si>
  <si>
    <t xml:space="preserve">PB10</t>
  </si>
  <si>
    <t xml:space="preserve">Como recepcionista, quero agendar, reagendar e cancelar atendimentos, para organizar a entrada de carros e evitar lotação dos boxes.</t>
  </si>
  <si>
    <t xml:space="preserve">RF05</t>
  </si>
  <si>
    <t xml:space="preserve">PB15</t>
  </si>
  <si>
    <t xml:space="preserve">Estoque</t>
  </si>
  <si>
    <t xml:space="preserve">Como administrador, quero cadastrar peças com código, preços, quantidade e estoque mínimo, para ter o estoque organizado.</t>
  </si>
  <si>
    <t xml:space="preserve">RF13</t>
  </si>
  <si>
    <t xml:space="preserve">PB11</t>
  </si>
  <si>
    <t xml:space="preserve">Como mecânico, quero montar o orçamento da OS com peças e mão de obra, para que o cliente saiba o valor antes de autorizar.</t>
  </si>
  <si>
    <t xml:space="preserve">RF08</t>
  </si>
  <si>
    <t xml:space="preserve">PB12</t>
  </si>
  <si>
    <t xml:space="preserve">Como recepcionista, quero registrar se o cliente aprovou ou reprovou o orçamento, para que o serviço só comece com a autorização registrada.</t>
  </si>
  <si>
    <t xml:space="preserve">RF09</t>
  </si>
  <si>
    <t xml:space="preserve">PB13</t>
  </si>
  <si>
    <t xml:space="preserve">Como mecânico, quero atualizar o status da OS conforme o serviço avança, para que a recepção e o cliente saibam a etapa do carro.</t>
  </si>
  <si>
    <t xml:space="preserve">RF10</t>
  </si>
  <si>
    <t xml:space="preserve">PB16</t>
  </si>
  <si>
    <t xml:space="preserve">Como recepcionista, quero encerrar a OS registrando a forma de pagamento, para concluir o atendimento.</t>
  </si>
  <si>
    <t xml:space="preserve">RF12</t>
  </si>
  <si>
    <t xml:space="preserve">PB17</t>
  </si>
  <si>
    <t xml:space="preserve">Como administrador, quero que as peças usadas na OS sejam baixadas do estoque automaticamente, para não ter diferença com a prateleira.</t>
  </si>
  <si>
    <t xml:space="preserve">RF14</t>
  </si>
  <si>
    <t xml:space="preserve">PB14</t>
  </si>
  <si>
    <t xml:space="preserve">Como mecânico, quero que o cliente seja avisado quando o carro estiver pronto, para ele retirar sem precisar ligar.</t>
  </si>
  <si>
    <t xml:space="preserve">RF11, RNF13</t>
  </si>
  <si>
    <t xml:space="preserve">PB18</t>
  </si>
  <si>
    <t xml:space="preserve">Como administrador, quero ser avisado quando uma peça atingir o estoque mínimo, para repor antes que ela falte.</t>
  </si>
  <si>
    <t xml:space="preserve">RF15</t>
  </si>
  <si>
    <t xml:space="preserve">PB19</t>
  </si>
  <si>
    <t xml:space="preserve">Financeiro e Gestão</t>
  </si>
  <si>
    <t xml:space="preserve">Como administrador, quero registrar contas a pagar e a receber, para saber quanto entra e quanto sai.</t>
  </si>
  <si>
    <t xml:space="preserve">RF16</t>
  </si>
  <si>
    <t xml:space="preserve">PB20</t>
  </si>
  <si>
    <t xml:space="preserve">Como administrador, quero gerar relatórios de faturamento e desempenho, para decidir com base em números.</t>
  </si>
  <si>
    <t xml:space="preserve">RF17, RNF13</t>
  </si>
  <si>
    <t xml:space="preserve">PB21</t>
  </si>
  <si>
    <t xml:space="preserve">Qualidade</t>
  </si>
  <si>
    <t xml:space="preserve">Como time, quero testar o sistema, para entregar as regras de negócio funcionando.</t>
  </si>
  <si>
    <t xml:space="preserve">RNF15</t>
  </si>
  <si>
    <t xml:space="preserve">PB23</t>
  </si>
  <si>
    <t xml:space="preserve">Como time, quero preparar a entrega final, para apresentar o sistema funcionando.</t>
  </si>
  <si>
    <t xml:space="preserve">PB22</t>
  </si>
  <si>
    <t xml:space="preserve">Como administrador, quero backup automático e registro de auditoria, para recuperar dados e saber quem alterou o quê.</t>
  </si>
  <si>
    <t xml:space="preserve">RNF08, RNF12</t>
  </si>
  <si>
    <t xml:space="preserve">Baixa</t>
  </si>
  <si>
    <t xml:space="preserve">A definir</t>
  </si>
  <si>
    <t xml:space="preserve">Backlog da Sprint (tarefas)</t>
  </si>
  <si>
    <t xml:space="preserve">Cada história do backlog do produto foi quebrada em tarefas. Início e fim vêm das datas da sprint.</t>
  </si>
  <si>
    <t xml:space="preserve">O que será feito</t>
  </si>
  <si>
    <t xml:space="preserve">Como será feito</t>
  </si>
  <si>
    <t xml:space="preserve">S0-01</t>
  </si>
  <si>
    <t xml:space="preserve">S0</t>
  </si>
  <si>
    <t xml:space="preserve">Definir a situação-problema e o funil de ideias</t>
  </si>
  <si>
    <t xml:space="preserve">Funil de ideias partindo do problema até a solução escolhida</t>
  </si>
  <si>
    <t xml:space="preserve">Equipe</t>
  </si>
  <si>
    <t xml:space="preserve">Concluído</t>
  </si>
  <si>
    <t xml:space="preserve">S0-02</t>
  </si>
  <si>
    <t xml:space="preserve">Criar o questionário do cliente no Google Forms</t>
  </si>
  <si>
    <t xml:space="preserve">Google Forms com perfil, situação atual e prioridades</t>
  </si>
  <si>
    <t xml:space="preserve">S0-03</t>
  </si>
  <si>
    <t xml:space="preserve">Elaborar os mapas mentais de ideias e de requisitos</t>
  </si>
  <si>
    <t xml:space="preserve">Mapa mental no Coggle</t>
  </si>
  <si>
    <t xml:space="preserve">S0-04</t>
  </si>
  <si>
    <t xml:space="preserve">Elencar os requisitos do cliente e os requisitos funcionais e não funcionais</t>
  </si>
  <si>
    <t xml:space="preserve">RF01 a RF18 e RNF01 a RNF16, com ISO/IEC 25010</t>
  </si>
  <si>
    <t xml:space="preserve">S0-05</t>
  </si>
  <si>
    <t xml:space="preserve">Elaborar a modelagem UML (casos de uso, sequência e estados)</t>
  </si>
  <si>
    <t xml:space="preserve">Diagramas UML documentados</t>
  </si>
  <si>
    <t xml:space="preserve">S0-06</t>
  </si>
  <si>
    <t xml:space="preserve">Modelar o processo de atendimento em BPMN</t>
  </si>
  <si>
    <t xml:space="preserve">Processo com raias: Cliente, Recepcionista, Mecânico e Sistema</t>
  </si>
  <si>
    <t xml:space="preserve">S0-07</t>
  </si>
  <si>
    <t xml:space="preserve">Montar o backlog do produto, o backlog da sprint e o quadro Kanban no Trello</t>
  </si>
  <si>
    <t xml:space="preserve">Excel de apoio + quadro no Trello</t>
  </si>
  <si>
    <t xml:space="preserve">Em andamento</t>
  </si>
  <si>
    <t xml:space="preserve">S0-08</t>
  </si>
  <si>
    <t xml:space="preserve">Preparar a apresentação do planejamento Scrum</t>
  </si>
  <si>
    <t xml:space="preserve">PPTX com os prints do Trello</t>
  </si>
  <si>
    <t xml:space="preserve">PB01-T1</t>
  </si>
  <si>
    <t xml:space="preserve">Criar repositório Git e definir branches (main, dev e feature)</t>
  </si>
  <si>
    <t xml:space="preserve">GitHub, com pull request revisado por outro integrante</t>
  </si>
  <si>
    <t xml:space="preserve">PB01-T2</t>
  </si>
  <si>
    <t xml:space="preserve">Configurar o ambiente e o projeto em camadas (apresentação, regras de negócio e dados)</t>
  </si>
  <si>
    <t xml:space="preserve">Framework web escolhido pela equipe, separando as camadas em módulos</t>
  </si>
  <si>
    <t xml:space="preserve">PB01-T3</t>
  </si>
  <si>
    <t xml:space="preserve">Criar o banco de dados e o script de migração inicial</t>
  </si>
  <si>
    <t xml:space="preserve">Script SQL versionado no repositório</t>
  </si>
  <si>
    <t xml:space="preserve">PB02-T1</t>
  </si>
  <si>
    <t xml:space="preserve">Elaborar o DER (cliente, veículo, OS, peça, funcionário e conta)</t>
  </si>
  <si>
    <t xml:space="preserve">Modelagem em ferramenta de diagramas, validada com os requisitos</t>
  </si>
  <si>
    <t xml:space="preserve">PB02-T2</t>
  </si>
  <si>
    <t xml:space="preserve">Criar o dicionário de dados e os scripts DDL</t>
  </si>
  <si>
    <t xml:space="preserve">Documento + scripts SQL no repositório</t>
  </si>
  <si>
    <t xml:space="preserve">PB02-T3</t>
  </si>
  <si>
    <t xml:space="preserve">Revisar o modelo com a equipe</t>
  </si>
  <si>
    <t xml:space="preserve">Reunião curta de revisão, ajustes registrados</t>
  </si>
  <si>
    <t xml:space="preserve">PB03-T1</t>
  </si>
  <si>
    <t xml:space="preserve">Criar a tela de login e a validação de credenciais</t>
  </si>
  <si>
    <t xml:space="preserve">Formulário com validação no front e no back-end</t>
  </si>
  <si>
    <t xml:space="preserve">PB03-T2</t>
  </si>
  <si>
    <t xml:space="preserve">Implementar hash de senha (bcrypt), sessão de 30 min e bloqueio após 5 tentativas</t>
  </si>
  <si>
    <t xml:space="preserve">Regras no módulo de autenticação, com testes unitários</t>
  </si>
  <si>
    <t xml:space="preserve">PB03-T3</t>
  </si>
  <si>
    <t xml:space="preserve">Controlar o acesso às telas por perfil (Recepcionista, Mecânico e Administrador)</t>
  </si>
  <si>
    <t xml:space="preserve">Verificação de perfil em cada rota protegida</t>
  </si>
  <si>
    <t xml:space="preserve">PB04-T1</t>
  </si>
  <si>
    <t xml:space="preserve">Criar o cadastro de funcionários (incluir, alterar e inativar)</t>
  </si>
  <si>
    <t xml:space="preserve">Tela CRUD ligada à tabela de funcionários</t>
  </si>
  <si>
    <t xml:space="preserve">PB04-T2</t>
  </si>
  <si>
    <t xml:space="preserve">Atribuir o perfil de acesso ao funcionário</t>
  </si>
  <si>
    <t xml:space="preserve">Campo de perfil com lista fixa de três opções</t>
  </si>
  <si>
    <t xml:space="preserve">PB04-T3</t>
  </si>
  <si>
    <t xml:space="preserve">Bloquear o login de funcionário inativado</t>
  </si>
  <si>
    <t xml:space="preserve">Validação de status no momento do login</t>
  </si>
  <si>
    <t xml:space="preserve">PB05-T1</t>
  </si>
  <si>
    <t xml:space="preserve">Criar a tela de cadastro com validação de CPF e campos obrigatórios</t>
  </si>
  <si>
    <t xml:space="preserve">Máscara e validação de CPF no front e no back-end</t>
  </si>
  <si>
    <t xml:space="preserve">PB05-T2</t>
  </si>
  <si>
    <t xml:space="preserve">Implementar busca por nome ou CPF, edição e inativação</t>
  </si>
  <si>
    <t xml:space="preserve">Consulta com filtro e confirmação antes de inativar</t>
  </si>
  <si>
    <t xml:space="preserve">PB05-T3</t>
  </si>
  <si>
    <t xml:space="preserve">Testar os cenários (CPF duplicado e campo vazio)</t>
  </si>
  <si>
    <t xml:space="preserve">Casos de teste manuais e automatizados</t>
  </si>
  <si>
    <t xml:space="preserve">PB06-T1</t>
  </si>
  <si>
    <t xml:space="preserve">Criar o cadastro de veículo vinculado ao cliente, com validação de placa (padrão antigo e Mercosul)</t>
  </si>
  <si>
    <t xml:space="preserve">Validação por expressão regular + relacionamento com o cliente</t>
  </si>
  <si>
    <t xml:space="preserve">PB06-T2</t>
  </si>
  <si>
    <t xml:space="preserve">Tratar placa já cadastrada e transferência de proprietário</t>
  </si>
  <si>
    <t xml:space="preserve">Aviso ao usuário e confirmação antes de transferir</t>
  </si>
  <si>
    <t xml:space="preserve">PB06-T3</t>
  </si>
  <si>
    <t xml:space="preserve">Testar os cenários de placa inválida e duplicada</t>
  </si>
  <si>
    <t xml:space="preserve">PB07-T1</t>
  </si>
  <si>
    <t xml:space="preserve">Criar a busca por placa e a exibição dos dados do veículo e do cliente</t>
  </si>
  <si>
    <t xml:space="preserve">Consulta ao banco e tela de resumo</t>
  </si>
  <si>
    <t xml:space="preserve">PB07-T2</t>
  </si>
  <si>
    <t xml:space="preserve">Criar o formulário de abertura (km, problema relatado e número sequencial da OS)</t>
  </si>
  <si>
    <t xml:space="preserve">Numeração automática e status inicial Aberta</t>
  </si>
  <si>
    <t xml:space="preserve">PB07-T3</t>
  </si>
  <si>
    <t xml:space="preserve">Implementar as regras: OS em andamento, km menor que a anterior e rascunho automático</t>
  </si>
  <si>
    <t xml:space="preserve">Alertas na tela e salvamento automático do rascunho</t>
  </si>
  <si>
    <t xml:space="preserve">PB08-T1</t>
  </si>
  <si>
    <t xml:space="preserve">Criar a tela de checklist (avarias, combustível e itens presentes)</t>
  </si>
  <si>
    <t xml:space="preserve">Componente de seleção no desenho do carro + campos de itens</t>
  </si>
  <si>
    <t xml:space="preserve">PB08-T2</t>
  </si>
  <si>
    <t xml:space="preserve">Vincular o checklist à OS e torná-lo obrigatório</t>
  </si>
  <si>
    <t xml:space="preserve">Validação na confirmação de abertura da OS</t>
  </si>
  <si>
    <t xml:space="preserve">PB08-T3</t>
  </si>
  <si>
    <t xml:space="preserve">Testar o preenchimento e a obrigatoriedade</t>
  </si>
  <si>
    <t xml:space="preserve">Casos de teste manuais</t>
  </si>
  <si>
    <t xml:space="preserve">PB09-T1</t>
  </si>
  <si>
    <t xml:space="preserve">Criar a consulta de OS por placa, da mais recente para a mais antiga</t>
  </si>
  <si>
    <t xml:space="preserve">Consulta ordenada por data, exibida em lista</t>
  </si>
  <si>
    <t xml:space="preserve">PB09-T2</t>
  </si>
  <si>
    <t xml:space="preserve">Tratar os casos sem histórico e placa não encontrada</t>
  </si>
  <si>
    <t xml:space="preserve">Mensagens padronizadas na tela</t>
  </si>
  <si>
    <t xml:space="preserve">PB09-T3</t>
  </si>
  <si>
    <t xml:space="preserve">Testar os três cenários de consulta</t>
  </si>
  <si>
    <t xml:space="preserve">PB10-T1</t>
  </si>
  <si>
    <t xml:space="preserve">Criar a agenda e o agendamento por horário</t>
  </si>
  <si>
    <t xml:space="preserve">Tela de calendário com horários e vínculo ao veículo</t>
  </si>
  <si>
    <t xml:space="preserve">PB10-T2</t>
  </si>
  <si>
    <t xml:space="preserve">Implementar o limite de boxes e a sugestão de horários livres</t>
  </si>
  <si>
    <t xml:space="preserve">Regra de capacidade por horário no back-end</t>
  </si>
  <si>
    <t xml:space="preserve">PB10-T3</t>
  </si>
  <si>
    <t xml:space="preserve">Implementar o reagendamento e o cancelamento</t>
  </si>
  <si>
    <t xml:space="preserve">Ações na agenda com liberação do horário</t>
  </si>
  <si>
    <t xml:space="preserve">PB15-T1</t>
  </si>
  <si>
    <t xml:space="preserve">Criar o cadastro de peças (código, descrição, custo, venda, quantidade e mínimo)</t>
  </si>
  <si>
    <t xml:space="preserve">Tela CRUD ligada à tabela de peças</t>
  </si>
  <si>
    <t xml:space="preserve">PB15-T2</t>
  </si>
  <si>
    <t xml:space="preserve">Validar código duplicado e preço de venda abaixo do custo</t>
  </si>
  <si>
    <t xml:space="preserve">Validações com aviso e confirmação</t>
  </si>
  <si>
    <t xml:space="preserve">PB15-T3</t>
  </si>
  <si>
    <t xml:space="preserve">Criar a busca de peças para uso no orçamento</t>
  </si>
  <si>
    <t xml:space="preserve">Campo de busca por código ou descrição</t>
  </si>
  <si>
    <t xml:space="preserve">PB11-T1</t>
  </si>
  <si>
    <t xml:space="preserve">Criar a tela de orçamento com itens de peças e mão de obra</t>
  </si>
  <si>
    <t xml:space="preserve">Tabela editável de itens ligada à OS</t>
  </si>
  <si>
    <t xml:space="preserve">PB11-T2</t>
  </si>
  <si>
    <t xml:space="preserve">Calcular os totais e avisar quando o estoque for insuficiente</t>
  </si>
  <si>
    <t xml:space="preserve">Cálculo no back-end e consulta ao saldo da peça</t>
  </si>
  <si>
    <t xml:space="preserve">PB11-T3</t>
  </si>
  <si>
    <t xml:space="preserve">Tratar orçamento vazio e mudar a OS para Aguardando aprovação</t>
  </si>
  <si>
    <t xml:space="preserve">Validação ao finalizar e troca automática de status</t>
  </si>
  <si>
    <t xml:space="preserve">PB12-T1</t>
  </si>
  <si>
    <t xml:space="preserve">Registrar aprovação ou reprovação com meio de contato e motivo</t>
  </si>
  <si>
    <t xml:space="preserve">Formulário de decisão com data e hora gravadas</t>
  </si>
  <si>
    <t xml:space="preserve">PB12-T2</t>
  </si>
  <si>
    <t xml:space="preserve">Implementar a aprovação parcial com recálculo do total</t>
  </si>
  <si>
    <t xml:space="preserve">Seleção de itens aprovados e novo cálculo</t>
  </si>
  <si>
    <t xml:space="preserve">PB12-T3</t>
  </si>
  <si>
    <t xml:space="preserve">Testar aprovação, parcial e reprovação</t>
  </si>
  <si>
    <t xml:space="preserve">PB13-T1</t>
  </si>
  <si>
    <t xml:space="preserve">Criar o painel de OS com mudança de status</t>
  </si>
  <si>
    <t xml:space="preserve">Painel em formato Kanban simples com os status da OS</t>
  </si>
  <si>
    <t xml:space="preserve">PB13-T2</t>
  </si>
  <si>
    <t xml:space="preserve">Gravar o histórico de mudanças com data e hora</t>
  </si>
  <si>
    <t xml:space="preserve">Tabela de histórico de status</t>
  </si>
  <si>
    <t xml:space="preserve">PB13-T3</t>
  </si>
  <si>
    <t xml:space="preserve">Testar as transições de status</t>
  </si>
  <si>
    <t xml:space="preserve">PB16-T1</t>
  </si>
  <si>
    <t xml:space="preserve">Criar a tela de encerramento com forma de pagamento (Pix, cartão, boleto e dinheiro)</t>
  </si>
  <si>
    <t xml:space="preserve">Formulário de pagamento ligado à OS</t>
  </si>
  <si>
    <t xml:space="preserve">PB16-T2</t>
  </si>
  <si>
    <t xml:space="preserve">Gerar as parcelas do pagamento parcelado com vencimento a cada 30 dias</t>
  </si>
  <si>
    <t xml:space="preserve">Cálculo de parcelas gravado para o financeiro</t>
  </si>
  <si>
    <t xml:space="preserve">PB16-T3</t>
  </si>
  <si>
    <t xml:space="preserve">Bloquear o encerramento fora do status correto e gerar o recibo</t>
  </si>
  <si>
    <t xml:space="preserve">Validação de status + recibo em PDF</t>
  </si>
  <si>
    <t xml:space="preserve">PB17-T1</t>
  </si>
  <si>
    <t xml:space="preserve">Implementar a baixa automática ao encerrar a OS</t>
  </si>
  <si>
    <t xml:space="preserve">Regra no módulo de estoque, disparada pelo encerramento</t>
  </si>
  <si>
    <t xml:space="preserve">PB17-T2</t>
  </si>
  <si>
    <t xml:space="preserve">Bloquear saldo insuficiente e não baixar peças de OS reprovada</t>
  </si>
  <si>
    <t xml:space="preserve">Validações antes da baixa</t>
  </si>
  <si>
    <t xml:space="preserve">PB17-T3</t>
  </si>
  <si>
    <t xml:space="preserve">Registrar a movimentação com o número da OS</t>
  </si>
  <si>
    <t xml:space="preserve">Tabela de movimentações de estoque</t>
  </si>
  <si>
    <t xml:space="preserve">PB14-T1</t>
  </si>
  <si>
    <t xml:space="preserve">Integrar o envio por WhatsApp e e-mail</t>
  </si>
  <si>
    <t xml:space="preserve">Integração com API de mensagens, com o número da OS na mensagem</t>
  </si>
  <si>
    <t xml:space="preserve">PB14-T2</t>
  </si>
  <si>
    <t xml:space="preserve">Avisar a recepção quando o cliente não tem contato cadastrado</t>
  </si>
  <si>
    <t xml:space="preserve">Alerta na tela da recepção para ligar ao cliente</t>
  </si>
  <si>
    <t xml:space="preserve">PB14-T3</t>
  </si>
  <si>
    <t xml:space="preserve">Testar o envio nos dois canais</t>
  </si>
  <si>
    <t xml:space="preserve">Testes com contatos reais da equipe</t>
  </si>
  <si>
    <t xml:space="preserve">PB18-T1</t>
  </si>
  <si>
    <t xml:space="preserve">Criar a regra de alerta ao atingir o estoque mínimo</t>
  </si>
  <si>
    <t xml:space="preserve">Comparação de saldo x mínimo após cada baixa</t>
  </si>
  <si>
    <t xml:space="preserve">PB18-T2</t>
  </si>
  <si>
    <t xml:space="preserve">Criar o painel de alertas do administrador</t>
  </si>
  <si>
    <t xml:space="preserve">Lista de peças em alerta no painel</t>
  </si>
  <si>
    <t xml:space="preserve">PB18-T3</t>
  </si>
  <si>
    <t xml:space="preserve">Resolver o alerta automaticamente quando o saldo subir</t>
  </si>
  <si>
    <t xml:space="preserve">Reavaliação do alerta a cada atualização de quantidade</t>
  </si>
  <si>
    <t xml:space="preserve">PB19-T1</t>
  </si>
  <si>
    <t xml:space="preserve">Criar o cadastro de contas a pagar e a receber</t>
  </si>
  <si>
    <t xml:space="preserve">Tela CRUD com fornecedor, valor e vencimento</t>
  </si>
  <si>
    <t xml:space="preserve">PB19-T2</t>
  </si>
  <si>
    <t xml:space="preserve">Destacar contas vencidas e registrar a baixa de pagamento</t>
  </si>
  <si>
    <t xml:space="preserve">Status automático por data + ação de baixa</t>
  </si>
  <si>
    <t xml:space="preserve">PB19-T3</t>
  </si>
  <si>
    <t xml:space="preserve">Mostrar o fluxo de caixa</t>
  </si>
  <si>
    <t xml:space="preserve">Resumo de entradas e saídas por período</t>
  </si>
  <si>
    <t xml:space="preserve">PB20-T1</t>
  </si>
  <si>
    <t xml:space="preserve">Criar o relatório de faturamento e ticket médio</t>
  </si>
  <si>
    <t xml:space="preserve">Consulta agregada por período</t>
  </si>
  <si>
    <t xml:space="preserve">PB20-T2</t>
  </si>
  <si>
    <t xml:space="preserve">Criar o relatório de desempenho por mecânico</t>
  </si>
  <si>
    <t xml:space="preserve">Consulta por mecânico com OS concluídas e mão de obra</t>
  </si>
  <si>
    <t xml:space="preserve">PB20-T3</t>
  </si>
  <si>
    <t xml:space="preserve">Exportar os relatórios em PDF e XLSX</t>
  </si>
  <si>
    <t xml:space="preserve">Bibliotecas de exportação no back-end</t>
  </si>
  <si>
    <t xml:space="preserve">PB21-T1</t>
  </si>
  <si>
    <t xml:space="preserve">Escrever testes unitários das regras de negócio (meta de 70% de cobertura)</t>
  </si>
  <si>
    <t xml:space="preserve">Testes automatizados no cálculo do orçamento, baixa de estoque e financeiro</t>
  </si>
  <si>
    <t xml:space="preserve">PB21-T2</t>
  </si>
  <si>
    <t xml:space="preserve">Executar testes de integração dos fluxos principais</t>
  </si>
  <si>
    <t xml:space="preserve">Roteiro: abrir OS, orçar, executar, encerrar</t>
  </si>
  <si>
    <t xml:space="preserve">PB21-T3</t>
  </si>
  <si>
    <t xml:space="preserve">Corrigir as falhas encontradas</t>
  </si>
  <si>
    <t xml:space="preserve">Registro das falhas e correção antes da entrega</t>
  </si>
  <si>
    <t xml:space="preserve">PB23-T1</t>
  </si>
  <si>
    <t xml:space="preserve">Publicar o sistema em ambiente de apresentação</t>
  </si>
  <si>
    <t xml:space="preserve">Deploy em servidor de testes</t>
  </si>
  <si>
    <t xml:space="preserve">PB23-T2</t>
  </si>
  <si>
    <t xml:space="preserve">Preparar o material de apoio ao usuário</t>
  </si>
  <si>
    <t xml:space="preserve">Manual rápido com as telas principais</t>
  </si>
  <si>
    <t xml:space="preserve">PB23-T3</t>
  </si>
  <si>
    <t xml:space="preserve">Ensaiar a apresentação final</t>
  </si>
  <si>
    <t xml:space="preserve">Ensaio com a equipe completa</t>
  </si>
  <si>
    <t xml:space="preserve">PB22-T1</t>
  </si>
  <si>
    <t xml:space="preserve">Configurar o backup automático diário do banco</t>
  </si>
  <si>
    <t xml:space="preserve">Rotina agendada com cópia em local separado</t>
  </si>
  <si>
    <t xml:space="preserve">PB22-T2</t>
  </si>
  <si>
    <t xml:space="preserve">Registrar auditoria de OS, estoque e financeiro</t>
  </si>
  <si>
    <t xml:space="preserve">Tabela de auditoria com usuário, data e valores antes e depois</t>
  </si>
  <si>
    <t xml:space="preserve">PB22-T3</t>
  </si>
  <si>
    <t xml:space="preserve">Testar a restauração do backup</t>
  </si>
  <si>
    <t xml:space="preserve">Restauração em ambiente de teste</t>
  </si>
  <si>
    <t xml:space="preserve">Cerimônias da Sprint</t>
  </si>
  <si>
    <t xml:space="preserve">Planejamento, execução, revisão e aprendizado.</t>
  </si>
  <si>
    <t xml:space="preserve">Cerimônia</t>
  </si>
  <si>
    <t xml:space="preserve">Quando</t>
  </si>
  <si>
    <t xml:space="preserve">Duração</t>
  </si>
  <si>
    <t xml:space="preserve">Participantes</t>
  </si>
  <si>
    <t xml:space="preserve">Objetivo</t>
  </si>
  <si>
    <t xml:space="preserve">Entrada</t>
  </si>
  <si>
    <t xml:space="preserve">Saída</t>
  </si>
  <si>
    <t xml:space="preserve">Sprint Planning (Planejamento)</t>
  </si>
  <si>
    <t xml:space="preserve">1º dia da sprint</t>
  </si>
  <si>
    <t xml:space="preserve">1h</t>
  </si>
  <si>
    <t xml:space="preserve">Time inteiro</t>
  </si>
  <si>
    <t xml:space="preserve">Definir a meta da sprint e escolher quais itens do backlog do produto entram na sprint.</t>
  </si>
  <si>
    <t xml:space="preserve">Backlog do produto priorizado e velocidade do time</t>
  </si>
  <si>
    <t xml:space="preserve">Backlog da sprint e meta da sprint</t>
  </si>
  <si>
    <t xml:space="preserve">Daily Scrum (Execução)</t>
  </si>
  <si>
    <t xml:space="preserve">Todo dia útil</t>
  </si>
  <si>
    <t xml:space="preserve">15 min</t>
  </si>
  <si>
    <t xml:space="preserve">Time de desenvolvimento</t>
  </si>
  <si>
    <t xml:space="preserve">Alinhar o trabalho do dia: o que fiz, o que farei e o que me impede.</t>
  </si>
  <si>
    <t xml:space="preserve">Quadro Kanban atualizado no Trello</t>
  </si>
  <si>
    <t xml:space="preserve">Impedimentos registrados e cartões em dia</t>
  </si>
  <si>
    <t xml:space="preserve">Sprint Review (Revisão)</t>
  </si>
  <si>
    <t xml:space="preserve">Último dia da sprint</t>
  </si>
  <si>
    <t xml:space="preserve">45 min</t>
  </si>
  <si>
    <t xml:space="preserve">Time e Product Owner</t>
  </si>
  <si>
    <t xml:space="preserve">Demonstrar o que foi entregue e verificar se cada item atende aos critérios de aceite.</t>
  </si>
  <si>
    <t xml:space="preserve">Incremento do sistema funcionando</t>
  </si>
  <si>
    <t xml:space="preserve">Itens aceitos e backlog do produto atualizado</t>
  </si>
  <si>
    <t xml:space="preserve">Sprint Retrospective (Aprendizado)</t>
  </si>
  <si>
    <t xml:space="preserve">Último dia da sprint, após a Review</t>
  </si>
  <si>
    <t xml:space="preserve">30 min</t>
  </si>
  <si>
    <t xml:space="preserve">Refletir sobre o que funcionou, o que não funcionou e o que melhorar na próxima sprint.</t>
  </si>
  <si>
    <t xml:space="preserve">Dados da sprint (entregas, atrasos e impedimentos)</t>
  </si>
  <si>
    <t xml:space="preserve">Ações de melhoria para a próxima sprint</t>
  </si>
  <si>
    <t xml:space="preserve">Calendário das cerimônias (datas calculadas a partir das sprints)</t>
  </si>
  <si>
    <t xml:space="preserve">Planning (início)</t>
  </si>
  <si>
    <t xml:space="preserve">Daily (de)</t>
  </si>
  <si>
    <t xml:space="preserve">Daily (até)</t>
  </si>
  <si>
    <t xml:space="preserve">Review (fim)</t>
  </si>
  <si>
    <t xml:space="preserve">Retrospective (fim)</t>
  </si>
  <si>
    <t xml:space="preserve">Duração (dias úteis)</t>
  </si>
  <si>
    <t xml:space="preserve">Registro da Sprint Review (preencher ao final de cada sprint)</t>
  </si>
  <si>
    <t xml:space="preserve">Itens entregues</t>
  </si>
  <si>
    <t xml:space="preserve">Itens aceitos pelo PO</t>
  </si>
  <si>
    <t xml:space="preserve">Itens não concluídos</t>
  </si>
  <si>
    <t xml:space="preserve">Feedback recebido</t>
  </si>
  <si>
    <t xml:space="preserve">Pontos entregues</t>
  </si>
  <si>
    <t xml:space="preserve">Registro da Sprint Retrospective (preencher ao final de cada sprint)</t>
  </si>
  <si>
    <t xml:space="preserve">O que funcionou bem</t>
  </si>
  <si>
    <t xml:space="preserve">O que não funcionou</t>
  </si>
  <si>
    <t xml:space="preserve">O que vamos melhorar</t>
  </si>
  <si>
    <t xml:space="preserve">Responsável pela ação</t>
  </si>
  <si>
    <t xml:space="preserve">Prazo da ação</t>
  </si>
  <si>
    <t xml:space="preserve">Cartões para o Trello</t>
  </si>
  <si>
    <t xml:space="preserve">Copie a coluna 'Título' de uma lista por vez e cole em 'Adicionar cartão' no Trello (uma linha vira um cartão). Veja a aba Guia Trello.</t>
  </si>
  <si>
    <t xml:space="preserve">Lista</t>
  </si>
  <si>
    <t xml:space="preserve">Título do cartão</t>
  </si>
  <si>
    <t xml:space="preserve">Descrição</t>
  </si>
  <si>
    <t xml:space="preserve">Etiqueta</t>
  </si>
  <si>
    <t xml:space="preserve">Membro</t>
  </si>
  <si>
    <t xml:space="preserve">Data de entrega</t>
  </si>
  <si>
    <t xml:space="preserve">Checklist (uma tarefa por item)</t>
  </si>
  <si>
    <t xml:space="preserve">S0-01 Definir a situação-problema e o funil de ideias</t>
  </si>
  <si>
    <t xml:space="preserve">Sprint 0</t>
  </si>
  <si>
    <t xml:space="preserve">S0-02 Criar o questionário do cliente no Google Forms</t>
  </si>
  <si>
    <t xml:space="preserve">S0-03 Elaborar os mapas mentais de ideias e de requisitos</t>
  </si>
  <si>
    <t xml:space="preserve">S0-04 Elencar os requisitos do cliente e os requisitos funcionais e não funcionais</t>
  </si>
  <si>
    <t xml:space="preserve">S0-05 Elaborar a modelagem UML (casos de uso, sequência e estados)</t>
  </si>
  <si>
    <t xml:space="preserve">S0-06 Modelar o processo de atendimento em BPMN</t>
  </si>
  <si>
    <t xml:space="preserve">S0-07 Montar o backlog do produto, o backlog da sprint e o quadro Kanban no Trello</t>
  </si>
  <si>
    <t xml:space="preserve">S0-08 Preparar a apresentação do planejamento Scrum</t>
  </si>
  <si>
    <t xml:space="preserve">Backlog da Sprint</t>
  </si>
  <si>
    <t xml:space="preserve">[3] PB01 Configurar ambiente, Git e banco</t>
  </si>
  <si>
    <t xml:space="preserve">Como time, quero configurar o ambiente, o repositório e o banco de dados, para começar a desenvolver com a base organizada.
Requisitos: RNF14
Prioridade: Alta</t>
  </si>
  <si>
    <t xml:space="preserve">Sprint 1</t>
  </si>
  <si>
    <t xml:space="preserve">Criar repositório Git e definir branches (main, dev e feature)
Configurar o ambiente e o projeto em camadas (apresentação, regras de negócio e dados)
Criar o banco de dados e o script de migração inicial</t>
  </si>
  <si>
    <t xml:space="preserve">[3] PB02 Modelar o banco de dados</t>
  </si>
  <si>
    <t xml:space="preserve">Como time, quero modelar o banco de dados, para guardar clientes, veículos, OS, peças e contas de forma consistente.
Requisitos: RF02, RF03, RF06, RF13, RF16
Prioridade: Alta</t>
  </si>
  <si>
    <t xml:space="preserve">Elaborar o DER (cliente, veículo, OS, peça, funcionário e conta)
Criar o dicionário de dados e os scripts DDL
Revisar o modelo com a equipe</t>
  </si>
  <si>
    <t xml:space="preserve">[5] PB03 Login e autenticação</t>
  </si>
  <si>
    <t xml:space="preserve">Como funcionário, quero fazer login com usuário e senha, para acessar apenas as telas do meu perfil.
Requisitos: RF01, RNF10, RNF11
Prioridade: Alta</t>
  </si>
  <si>
    <t xml:space="preserve">Criar a tela de login e a validação de credenciais
Implementar hash de senha (bcrypt), sessão de 30 min e bloqueio após 5 tentativas
Controlar o acesso às telas por perfil (Recepcionista, Mecânico e Administrador)</t>
  </si>
  <si>
    <t xml:space="preserve">[3] PB04 Cadastro de funcionários e perfis</t>
  </si>
  <si>
    <t xml:space="preserve">Como administrador, quero cadastrar funcionários e definir o perfil de cada um, para que cada pessoa veja só o que é da sua função.
Requisitos: RF18, RF01
Prioridade: Média</t>
  </si>
  <si>
    <t xml:space="preserve">Criar o cadastro de funcionários (incluir, alterar e inativar)
Atribuir o perfil de acesso ao funcionário
Bloquear o login de funcionário inativado</t>
  </si>
  <si>
    <t xml:space="preserve">[5] PB05 Cadastro de clientes</t>
  </si>
  <si>
    <t xml:space="preserve">Como recepcionista, quero cadastrar clientes com nome, CPF e telefone, para ter os dados à mão nos próximos atendimentos.
Requisitos: RF02, RNF05
Prioridade: Alta</t>
  </si>
  <si>
    <t xml:space="preserve">Criar a tela de cadastro com validação de CPF e campos obrigatórios
Implementar busca por nome ou CPF, edição e inativação
Testar os cenários (CPF duplicado e campo vazio)</t>
  </si>
  <si>
    <t xml:space="preserve">[5] PB06 Cadastro de veículos</t>
  </si>
  <si>
    <t xml:space="preserve">Como recepcionista, quero cadastrar veículos vinculados a um cliente, para identificar rápido qual carro está sendo atendido.
Requisitos: RF03, RNF05
Prioridade: Alta</t>
  </si>
  <si>
    <t xml:space="preserve">Criar o cadastro de veículo vinculado ao cliente, com validação de placa (padrão antigo e Mercosul)
Tratar placa já cadastrada e transferência de proprietário
Testar os cenários de placa inválida e duplicada</t>
  </si>
  <si>
    <t xml:space="preserve">[8] PB07 Abrir Ordem de Serviço</t>
  </si>
  <si>
    <t xml:space="preserve">Como recepcionista, quero abrir uma OS informando placa, km e problema relatado, para registrar a entrada do veículo.
Requisitos: RF06, RNF03, RNF09
Prioridade: Alta</t>
  </si>
  <si>
    <t xml:space="preserve">Sprint 2</t>
  </si>
  <si>
    <t xml:space="preserve">Criar a busca por placa e a exibição dos dados do veículo e do cliente
Criar o formulário de abertura (km, problema relatado e número sequencial da OS)
Implementar as regras: OS em andamento, km menor que a anterior e rascunho automático</t>
  </si>
  <si>
    <t xml:space="preserve">[5] PB08 Checklist de entrada</t>
  </si>
  <si>
    <t xml:space="preserve">Como recepcionista, quero registrar o checklist de entrada, para evitar discussões sobre danos que já existiam.
Requisitos: RF07
Prioridade: Alta</t>
  </si>
  <si>
    <t xml:space="preserve">Criar a tela de checklist (avarias, combustível e itens presentes)
Vincular o checklist à OS e torná-lo obrigatório
Testar o preenchimento e a obrigatoriedade</t>
  </si>
  <si>
    <t xml:space="preserve">[3] PB09 Histórico do veículo</t>
  </si>
  <si>
    <t xml:space="preserve">Como mecânico, quero consultar o histórico de serviços de um veículo pela placa, para diagnosticar com base nas manutenções anteriores.
Requisitos: RF04
Prioridade: Média</t>
  </si>
  <si>
    <t xml:space="preserve">Criar a consulta de OS por placa, da mais recente para a mais antiga
Tratar os casos sem histórico e placa não encontrada
Testar os três cenários de consulta</t>
  </si>
  <si>
    <t xml:space="preserve">[5] PB10 Agenda de atendimentos</t>
  </si>
  <si>
    <t xml:space="preserve">Como recepcionista, quero agendar, reagendar e cancelar atendimentos, para organizar a entrada de carros e evitar lotação dos boxes.
Requisitos: RF05
Prioridade: Média</t>
  </si>
  <si>
    <t xml:space="preserve">Criar a agenda e o agendamento por horário
Implementar o limite de boxes e a sugestão de horários livres
Implementar o reagendamento e o cancelamento</t>
  </si>
  <si>
    <t xml:space="preserve">[5] PB15 Cadastro de peças</t>
  </si>
  <si>
    <t xml:space="preserve">Como administrador, quero cadastrar peças com código, preços, quantidade e estoque mínimo, para ter o estoque organizado.
Requisitos: RF13
Prioridade: Alta</t>
  </si>
  <si>
    <t xml:space="preserve">Criar o cadastro de peças (código, descrição, custo, venda, quantidade e mínimo)
Validar código duplicado e preço de venda abaixo do custo
Criar a busca de peças para uso no orçamento</t>
  </si>
  <si>
    <t xml:space="preserve">[8] PB11 Orçamento da OS</t>
  </si>
  <si>
    <t xml:space="preserve">Como mecânico, quero montar o orçamento da OS com peças e mão de obra, para que o cliente saiba o valor antes de autorizar.
Requisitos: RF08
Prioridade: Alta</t>
  </si>
  <si>
    <t xml:space="preserve">Sprint 3</t>
  </si>
  <si>
    <t xml:space="preserve">Criar a tela de orçamento com itens de peças e mão de obra
Calcular os totais e avisar quando o estoque for insuficiente
Tratar orçamento vazio e mudar a OS para Aguardando aprovação</t>
  </si>
  <si>
    <t xml:space="preserve">[5] PB12 Aprovação do orçamento</t>
  </si>
  <si>
    <t xml:space="preserve">Como recepcionista, quero registrar se o cliente aprovou ou reprovou o orçamento, para que o serviço só comece com a autorização registrada.
Requisitos: RF09
Prioridade: Alta</t>
  </si>
  <si>
    <t xml:space="preserve">Registrar aprovação ou reprovação com meio de contato e motivo
Implementar a aprovação parcial com recálculo do total
Testar aprovação, parcial e reprovação</t>
  </si>
  <si>
    <t xml:space="preserve">[3] PB13 Atualizar status da OS</t>
  </si>
  <si>
    <t xml:space="preserve">Como mecânico, quero atualizar o status da OS conforme o serviço avança, para que a recepção e o cliente saibam a etapa do carro.
Requisitos: RF10
Prioridade: Alta</t>
  </si>
  <si>
    <t xml:space="preserve">Criar o painel de OS com mudança de status
Gravar o histórico de mudanças com data e hora
Testar as transições de status</t>
  </si>
  <si>
    <t xml:space="preserve">[5] PB16 Encerrar OS e pagamento</t>
  </si>
  <si>
    <t xml:space="preserve">Como recepcionista, quero encerrar a OS registrando a forma de pagamento, para concluir o atendimento.
Requisitos: RF12
Prioridade: Alta</t>
  </si>
  <si>
    <t xml:space="preserve">Criar a tela de encerramento com forma de pagamento (Pix, cartão, boleto e dinheiro)
Gerar as parcelas do pagamento parcelado com vencimento a cada 30 dias
Bloquear o encerramento fora do status correto e gerar o recibo</t>
  </si>
  <si>
    <t xml:space="preserve">[5] PB17 Baixa automática de estoque</t>
  </si>
  <si>
    <t xml:space="preserve">Como administrador, quero que as peças usadas na OS sejam baixadas do estoque automaticamente, para não ter diferença com a prateleira.
Requisitos: RF14
Prioridade: Alta</t>
  </si>
  <si>
    <t xml:space="preserve">Implementar a baixa automática ao encerrar a OS
Bloquear saldo insuficiente e não baixar peças de OS reprovada
Registrar a movimentação com o número da OS</t>
  </si>
  <si>
    <t xml:space="preserve">[5] PB14 Notificar cliente (carro pronto)</t>
  </si>
  <si>
    <t xml:space="preserve">Como mecânico, quero que o cliente seja avisado quando o carro estiver pronto, para ele retirar sem precisar ligar.
Requisitos: RF11, RNF13
Prioridade: Média</t>
  </si>
  <si>
    <t xml:space="preserve">Sprint 4</t>
  </si>
  <si>
    <t xml:space="preserve">Integrar o envio por WhatsApp e e-mail
Avisar a recepção quando o cliente não tem contato cadastrado
Testar o envio nos dois canais</t>
  </si>
  <si>
    <t xml:space="preserve">[3] PB18 Alerta de estoque mínimo</t>
  </si>
  <si>
    <t xml:space="preserve">Como administrador, quero ser avisado quando uma peça atingir o estoque mínimo, para repor antes que ela falte.
Requisitos: RF15
Prioridade: Média</t>
  </si>
  <si>
    <t xml:space="preserve">Criar a regra de alerta ao atingir o estoque mínimo
Criar o painel de alertas do administrador
Resolver o alerta automaticamente quando o saldo subir</t>
  </si>
  <si>
    <t xml:space="preserve">[5] PB19 Contas a pagar e a receber</t>
  </si>
  <si>
    <t xml:space="preserve">Como administrador, quero registrar contas a pagar e a receber, para saber quanto entra e quanto sai.
Requisitos: RF16
Prioridade: Média</t>
  </si>
  <si>
    <t xml:space="preserve">Criar o cadastro de contas a pagar e a receber
Destacar contas vencidas e registrar a baixa de pagamento
Mostrar o fluxo de caixa</t>
  </si>
  <si>
    <t xml:space="preserve">[5] PB20 Relatórios de faturamento e desempenho</t>
  </si>
  <si>
    <t xml:space="preserve">Como administrador, quero gerar relatórios de faturamento e desempenho, para decidir com base em números.
Requisitos: RF17, RNF13
Prioridade: Média</t>
  </si>
  <si>
    <t xml:space="preserve">Criar o relatório de faturamento e ticket médio
Criar o relatório de desempenho por mecânico
Exportar os relatórios em PDF e XLSX</t>
  </si>
  <si>
    <t xml:space="preserve">[5] PB21 Testes do sistema</t>
  </si>
  <si>
    <t xml:space="preserve">Como time, quero testar o sistema, para entregar as regras de negócio funcionando.
Requisitos: RNF15
Prioridade: Alta</t>
  </si>
  <si>
    <t xml:space="preserve">Escrever testes unitários das regras de negócio (meta de 70% de cobertura)
Executar testes de integração dos fluxos principais
Corrigir as falhas encontradas</t>
  </si>
  <si>
    <t xml:space="preserve">[3] PB23 Entrega final e apresentação</t>
  </si>
  <si>
    <t xml:space="preserve">Como time, quero preparar a entrega final, para apresentar o sistema funcionando.
Requisitos: -
Prioridade: Média</t>
  </si>
  <si>
    <t xml:space="preserve">Publicar o sistema em ambiente de apresentação
Preparar o material de apoio ao usuário
Ensaiar a apresentação final</t>
  </si>
  <si>
    <t xml:space="preserve">[5] PB22 Backup e auditoria</t>
  </si>
  <si>
    <t xml:space="preserve">Como administrador, quero backup automático e registro de auditoria, para recuperar dados e saber quem alterou o quê.
Requisitos: RNF08, RNF12
Prioridade: Baixa</t>
  </si>
  <si>
    <t xml:space="preserve">Sem sprint</t>
  </si>
  <si>
    <t xml:space="preserve">Configurar o backup automático diário do banco
Registrar auditoria de OS, estoque e financeiro
Testar a restauração do backup</t>
  </si>
  <si>
    <t xml:space="preserve">Como montar o quadro Kanban no Trello</t>
  </si>
  <si>
    <t xml:space="preserve">Passo</t>
  </si>
  <si>
    <t xml:space="preserve">O que fazer</t>
  </si>
  <si>
    <t xml:space="preserve">1. Criar o quadro</t>
  </si>
  <si>
    <t xml:space="preserve">No Trello, clique em Criar &gt; Criar quadro. Nome: Overdrive - Scrum. Convide Alan, Gustavo e Pedro pelo e-mail.</t>
  </si>
  <si>
    <t xml:space="preserve">2. Criar as 5 listas</t>
  </si>
  <si>
    <t xml:space="preserve">Backlog do Produto | Backlog da Sprint | Em andamento | Em revisão | Concluído (nessa ordem, da esquerda para a direita).</t>
  </si>
  <si>
    <t xml:space="preserve">3. Criar as etiquetas</t>
  </si>
  <si>
    <t xml:space="preserve">Menu do quadro &gt; Etiquetas: Sprint 0, Sprint 1, Sprint 2, Sprint 3, Sprint 4 e Sem sprint. Use uma cor por sprint.</t>
  </si>
  <si>
    <t xml:space="preserve">4. Colar os cartões</t>
  </si>
  <si>
    <t xml:space="preserve">Na aba Cartões Trello, filtre a coluna Lista (ex.: Backlog do Produto), copie as células da coluna Título e cole em 'Adicionar um cartão' da lista correspondente. O Trello cria um cartão por linha.</t>
  </si>
  <si>
    <t xml:space="preserve">5. Completar cada cartão</t>
  </si>
  <si>
    <t xml:space="preserve">Abra o cartão e cole a Descrição, adicione a Etiqueta, o Membro e a Data de entrega. Em Checklist, cole a coluna Checklist: cada linha vira um item.</t>
  </si>
  <si>
    <t xml:space="preserve">6. Regra do Kanban (WIP)</t>
  </si>
  <si>
    <t xml:space="preserve">Máximo de 2 cartões por pessoa em Em andamento. Um cartão só vai para Concluído depois de passar por Em revisão (aceite do Product Owner).</t>
  </si>
  <si>
    <t xml:space="preserve">7. Rotina de cada sprint</t>
  </si>
  <si>
    <t xml:space="preserve">Planning: mover os cartões da sprint para Backlog da Sprint. Daily: atualizar o quadro. Review: cartões aceitos vão para Concluído. Retrospective: registrar melhorias (cartão ou aba Cerimônias).</t>
  </si>
  <si>
    <t xml:space="preserve">8. Prints para a entrega</t>
  </si>
  <si>
    <t xml:space="preserve">Tire prints do quadro inteiro, de um cartão aberto (com checklist, membro e data) e do quadro por sprint (filtro por etiqueta). Cole nos slides do PPTX.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</si>
</sst>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82.05" hidden="false" customHeight="false" outlineLevel="0" collapsed="false">
      <c r="A4" s="4" t="s">
        <v>5</v>
      </c>
      <c r="B4" s="4" t="s">
        <v>6</v>
      </c>
      <c r="C4" s="4" t="s">
        <v>7</v>
      </c>
    </row>
    <row r="5" customFormat="false" ht="82.05" hidden="false" customHeight="false" outlineLevel="0" collapsed="false">
      <c r="A5" s="4" t="s">
        <v>8</v>
      </c>
      <c r="B5" s="4" t="s">
        <v>9</v>
      </c>
      <c r="C5" s="4" t="s">
        <v>10</v>
      </c>
    </row>
    <row r="6" customFormat="false" ht="55.2" hidden="false" customHeight="false" outlineLevel="0" collapsed="false">
      <c r="A6" s="4" t="s">
        <v>11</v>
      </c>
      <c r="B6" s="4" t="s">
        <v>12</v>
      </c>
      <c r="C6" s="4" t="s">
        <v>13</v>
      </c>
    </row>
    <row r="8" customFormat="false" ht="15" hidden="false" customHeight="false" outlineLevel="0" collapsed="false">
      <c r="A8" s="5" t="s">
        <v>14</v>
      </c>
    </row>
    <row r="9" customFormat="false" ht="55.2" hidden="false" customHeight="false" outlineLevel="0" collapsed="false">
      <c r="A9" s="4" t="s">
        <v>15</v>
      </c>
      <c r="B9" s="6" t="n">
        <v>35</v>
      </c>
      <c r="C9" s="4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</row>
    <row r="12" customFormat="false" ht="28.35" hidden="false" customHeight="false" outlineLevel="0" collapsed="false">
      <c r="A12" s="4" t="n">
        <v>0</v>
      </c>
      <c r="B12" s="4" t="s">
        <v>26</v>
      </c>
      <c r="C12" s="7" t="n">
        <v>46307</v>
      </c>
      <c r="D12" s="7" t="n">
        <v>46316</v>
      </c>
      <c r="E12" s="4" t="n">
        <f aca="false">NETWORKDAYS(C12,D12)</f>
        <v>8</v>
      </c>
      <c r="F12" s="4" t="n">
        <f aca="false">SUMIF('Backlog do Produto'!$G:$G,A12,'Backlog do Produto'!$F:$F)</f>
        <v>0</v>
      </c>
      <c r="G12" s="4" t="n">
        <f aca="false">SUMIF('Backlog da Sprint'!$C:$C,A12,'Backlog da Sprint'!$G:$G)</f>
        <v>0</v>
      </c>
      <c r="H12" s="8" t="n">
        <f aca="false">G12*$B$9</f>
        <v>0</v>
      </c>
      <c r="I12" s="4" t="s">
        <v>27</v>
      </c>
    </row>
    <row r="13" customFormat="false" ht="28.35" hidden="false" customHeight="false" outlineLevel="0" collapsed="false">
      <c r="A13" s="4" t="n">
        <v>1</v>
      </c>
      <c r="B13" s="4" t="s">
        <v>28</v>
      </c>
      <c r="C13" s="7" t="n">
        <v>46317</v>
      </c>
      <c r="D13" s="7" t="n">
        <v>46323</v>
      </c>
      <c r="E13" s="4" t="n">
        <f aca="false">NETWORKDAYS(C13,D13)</f>
        <v>5</v>
      </c>
      <c r="F13" s="4" t="n">
        <f aca="false">SUMIF('Backlog do Produto'!$G:$G,A13,'Backlog do Produto'!$F:$F)</f>
        <v>24</v>
      </c>
      <c r="G13" s="4" t="n">
        <f aca="false">SUMIF('Backlog da Sprint'!$C:$C,A13,'Backlog da Sprint'!$G:$G)</f>
        <v>72</v>
      </c>
      <c r="H13" s="8" t="n">
        <f aca="false">G13*$B$9</f>
        <v>2520</v>
      </c>
      <c r="I13" s="4" t="s">
        <v>29</v>
      </c>
    </row>
    <row r="14" customFormat="false" ht="28.35" hidden="false" customHeight="false" outlineLevel="0" collapsed="false">
      <c r="A14" s="4" t="n">
        <v>2</v>
      </c>
      <c r="B14" s="4" t="s">
        <v>30</v>
      </c>
      <c r="C14" s="7" t="n">
        <v>46324</v>
      </c>
      <c r="D14" s="7" t="n">
        <v>46330</v>
      </c>
      <c r="E14" s="4" t="n">
        <f aca="false">NETWORKDAYS(C14,D14)</f>
        <v>5</v>
      </c>
      <c r="F14" s="4" t="n">
        <f aca="false">SUMIF('Backlog do Produto'!$G:$G,A14,'Backlog do Produto'!$F:$F)</f>
        <v>26</v>
      </c>
      <c r="G14" s="4" t="n">
        <f aca="false">SUMIF('Backlog da Sprint'!$C:$C,A14,'Backlog da Sprint'!$G:$G)</f>
        <v>78</v>
      </c>
      <c r="H14" s="8" t="n">
        <f aca="false">G14*$B$9</f>
        <v>2730</v>
      </c>
      <c r="I14" s="4" t="s">
        <v>31</v>
      </c>
    </row>
    <row r="15" customFormat="false" ht="28.35" hidden="false" customHeight="false" outlineLevel="0" collapsed="false">
      <c r="A15" s="4" t="n">
        <v>3</v>
      </c>
      <c r="B15" s="4" t="s">
        <v>32</v>
      </c>
      <c r="C15" s="7" t="n">
        <v>46331</v>
      </c>
      <c r="D15" s="7" t="n">
        <v>46337</v>
      </c>
      <c r="E15" s="4" t="n">
        <f aca="false">NETWORKDAYS(C15,D15)</f>
        <v>5</v>
      </c>
      <c r="F15" s="4" t="n">
        <f aca="false">SUMIF('Backlog do Produto'!$G:$G,A15,'Backlog do Produto'!$F:$F)</f>
        <v>26</v>
      </c>
      <c r="G15" s="4" t="n">
        <f aca="false">SUMIF('Backlog da Sprint'!$C:$C,A15,'Backlog da Sprint'!$G:$G)</f>
        <v>78</v>
      </c>
      <c r="H15" s="8" t="n">
        <f aca="false">G15*$B$9</f>
        <v>2730</v>
      </c>
      <c r="I15" s="4" t="s">
        <v>33</v>
      </c>
    </row>
    <row r="16" customFormat="false" ht="28.35" hidden="false" customHeight="false" outlineLevel="0" collapsed="false">
      <c r="A16" s="4" t="n">
        <v>4</v>
      </c>
      <c r="B16" s="4" t="s">
        <v>34</v>
      </c>
      <c r="C16" s="7" t="n">
        <v>46338</v>
      </c>
      <c r="D16" s="7" t="n">
        <v>46344</v>
      </c>
      <c r="E16" s="4" t="n">
        <f aca="false">NETWORKDAYS(C16,D16)</f>
        <v>5</v>
      </c>
      <c r="F16" s="4" t="n">
        <f aca="false">SUMIF('Backlog do Produto'!$G:$G,A16,'Backlog do Produto'!$F:$F)</f>
        <v>26</v>
      </c>
      <c r="G16" s="4" t="n">
        <f aca="false">SUMIF('Backlog da Sprint'!$C:$C,A16,'Backlog da Sprint'!$G:$G)</f>
        <v>78</v>
      </c>
      <c r="H16" s="8" t="n">
        <f aca="false">G16*$B$9</f>
        <v>2730</v>
      </c>
      <c r="I16" s="4" t="s">
        <v>35</v>
      </c>
    </row>
    <row r="17" customFormat="false" ht="15" hidden="false" customHeight="false" outlineLevel="0" collapsed="false">
      <c r="A17" s="4" t="s">
        <v>36</v>
      </c>
      <c r="B17" s="4" t="s">
        <v>37</v>
      </c>
      <c r="C17" s="4"/>
      <c r="D17" s="4"/>
      <c r="E17" s="4"/>
      <c r="F17" s="4" t="n">
        <f aca="false">SUMIF('Backlog do Produto'!$G:$G,A17,'Backlog do Produto'!$F:$F)</f>
        <v>5</v>
      </c>
      <c r="G17" s="4" t="n">
        <f aca="false">SUMIF('Backlog da Sprint'!$C:$C,A17,'Backlog da Sprint'!$G:$G)</f>
        <v>15</v>
      </c>
      <c r="H17" s="8" t="n">
        <f aca="false">G17*$B$9</f>
        <v>525</v>
      </c>
      <c r="I17" s="4" t="s">
        <v>38</v>
      </c>
    </row>
    <row r="18" customFormat="false" ht="15" hidden="false" customHeight="false" outlineLevel="0" collapsed="false">
      <c r="A18" s="4"/>
      <c r="B18" s="9" t="s">
        <v>39</v>
      </c>
      <c r="C18" s="4"/>
      <c r="D18" s="4"/>
      <c r="E18" s="4"/>
      <c r="F18" s="9" t="n">
        <f aca="false">SUM(F12:F17)</f>
        <v>107</v>
      </c>
      <c r="G18" s="9" t="n">
        <f aca="false">SUM(G12:G17)</f>
        <v>321</v>
      </c>
      <c r="H18" s="10" t="n">
        <f aca="false">SUM(H12:H17)</f>
        <v>11235</v>
      </c>
      <c r="I18" s="4"/>
    </row>
    <row r="20" customFormat="false" ht="15" hidden="false" customHeight="false" outlineLevel="0" collapsed="false">
      <c r="A20" s="5" t="s">
        <v>40</v>
      </c>
    </row>
    <row r="21" customFormat="false" ht="15" hidden="false" customHeight="false" outlineLevel="0" collapsed="false">
      <c r="A21" s="3" t="s">
        <v>41</v>
      </c>
      <c r="B21" s="3" t="s">
        <v>42</v>
      </c>
      <c r="C21" s="3" t="s">
        <v>43</v>
      </c>
      <c r="D21" s="3" t="s">
        <v>44</v>
      </c>
      <c r="E21" s="3" t="s">
        <v>45</v>
      </c>
    </row>
    <row r="22" customFormat="false" ht="15" hidden="false" customHeight="false" outlineLevel="0" collapsed="false">
      <c r="A22" s="4" t="s">
        <v>46</v>
      </c>
      <c r="B22" s="6" t="n">
        <v>50</v>
      </c>
      <c r="C22" s="11" t="n">
        <v>2</v>
      </c>
      <c r="D22" s="4" t="s">
        <v>47</v>
      </c>
      <c r="E22" s="8" t="n">
        <f aca="false">B22*C22</f>
        <v>100</v>
      </c>
    </row>
    <row r="23" customFormat="false" ht="15" hidden="false" customHeight="false" outlineLevel="0" collapsed="false">
      <c r="A23" s="4" t="s">
        <v>48</v>
      </c>
      <c r="B23" s="6" t="n">
        <v>40</v>
      </c>
      <c r="C23" s="11" t="n">
        <v>1</v>
      </c>
      <c r="D23" s="4" t="s">
        <v>49</v>
      </c>
      <c r="E23" s="8" t="n">
        <f aca="false">B23*C23</f>
        <v>40</v>
      </c>
    </row>
    <row r="24" customFormat="false" ht="15" hidden="false" customHeight="false" outlineLevel="0" collapsed="false">
      <c r="A24" s="4" t="s">
        <v>50</v>
      </c>
      <c r="B24" s="6" t="n">
        <v>0</v>
      </c>
      <c r="C24" s="11" t="n">
        <v>1</v>
      </c>
      <c r="D24" s="4" t="s">
        <v>51</v>
      </c>
      <c r="E24" s="8" t="n">
        <f aca="false">B24*C24</f>
        <v>0</v>
      </c>
    </row>
    <row r="25" customFormat="false" ht="15" hidden="false" customHeight="false" outlineLevel="0" collapsed="false">
      <c r="A25" s="9" t="s">
        <v>52</v>
      </c>
      <c r="B25" s="4"/>
      <c r="C25" s="4"/>
      <c r="D25" s="4"/>
      <c r="E25" s="10" t="n">
        <f aca="false">SUM(E22:E24)</f>
        <v>140</v>
      </c>
    </row>
    <row r="26" customFormat="false" ht="23.85" hidden="false" customHeight="false" outlineLevel="0" collapsed="false">
      <c r="A26" s="9" t="s">
        <v>53</v>
      </c>
      <c r="B26" s="4"/>
      <c r="C26" s="4"/>
      <c r="D26" s="4"/>
      <c r="E26" s="10" t="n">
        <f aca="false">H18+E25</f>
        <v>11375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7" min="6" style="0" width="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22</v>
      </c>
      <c r="G3" s="3" t="s">
        <v>17</v>
      </c>
      <c r="H3" s="3" t="s">
        <v>61</v>
      </c>
      <c r="I3" s="3" t="s">
        <v>62</v>
      </c>
      <c r="J3" s="3" t="s">
        <v>23</v>
      </c>
      <c r="K3" s="3" t="s">
        <v>24</v>
      </c>
    </row>
    <row r="4" customFormat="false" ht="28.35" hidden="false" customHeight="false" outlineLevel="0" collapsed="false">
      <c r="A4" s="4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4" t="n">
        <v>3</v>
      </c>
      <c r="G4" s="4" t="n">
        <v>1</v>
      </c>
      <c r="H4" s="4" t="s">
        <v>68</v>
      </c>
      <c r="I4" s="4" t="s">
        <v>69</v>
      </c>
      <c r="J4" s="4" t="n">
        <f aca="false">SUMIF('Backlog da Sprint'!$B:$B,A4,'Backlog da Sprint'!$G:$G)</f>
        <v>9</v>
      </c>
      <c r="K4" s="8" t="n">
        <f aca="false">J4*'Visão Geral'!$B$9</f>
        <v>315</v>
      </c>
    </row>
    <row r="5" customFormat="false" ht="28.35" hidden="false" customHeight="false" outlineLevel="0" collapsed="false">
      <c r="A5" s="4" t="s">
        <v>70</v>
      </c>
      <c r="B5" s="4" t="s">
        <v>64</v>
      </c>
      <c r="C5" s="4" t="s">
        <v>71</v>
      </c>
      <c r="D5" s="4" t="s">
        <v>72</v>
      </c>
      <c r="E5" s="4" t="s">
        <v>67</v>
      </c>
      <c r="F5" s="4" t="n">
        <v>3</v>
      </c>
      <c r="G5" s="4" t="n">
        <v>1</v>
      </c>
      <c r="H5" s="4" t="s">
        <v>6</v>
      </c>
      <c r="I5" s="4" t="s">
        <v>69</v>
      </c>
      <c r="J5" s="4" t="n">
        <f aca="false">SUMIF('Backlog da Sprint'!$B:$B,A5,'Backlog da Sprint'!$G:$G)</f>
        <v>9</v>
      </c>
      <c r="K5" s="8" t="n">
        <f aca="false">J5*'Visão Geral'!$B$9</f>
        <v>315</v>
      </c>
    </row>
    <row r="6" customFormat="false" ht="28.35" hidden="false" customHeight="false" outlineLevel="0" collapsed="false">
      <c r="A6" s="4" t="s">
        <v>73</v>
      </c>
      <c r="B6" s="4" t="s">
        <v>74</v>
      </c>
      <c r="C6" s="4" t="s">
        <v>75</v>
      </c>
      <c r="D6" s="4" t="s">
        <v>76</v>
      </c>
      <c r="E6" s="4" t="s">
        <v>67</v>
      </c>
      <c r="F6" s="4" t="n">
        <v>5</v>
      </c>
      <c r="G6" s="4" t="n">
        <v>1</v>
      </c>
      <c r="H6" s="4" t="s">
        <v>68</v>
      </c>
      <c r="I6" s="4" t="s">
        <v>69</v>
      </c>
      <c r="J6" s="4" t="n">
        <f aca="false">SUMIF('Backlog da Sprint'!$B:$B,A6,'Backlog da Sprint'!$G:$G)</f>
        <v>15</v>
      </c>
      <c r="K6" s="8" t="n">
        <f aca="false">J6*'Visão Geral'!$B$9</f>
        <v>525</v>
      </c>
    </row>
    <row r="7" customFormat="false" ht="28.35" hidden="false" customHeight="false" outlineLevel="0" collapsed="false">
      <c r="A7" s="4" t="s">
        <v>77</v>
      </c>
      <c r="B7" s="4" t="s">
        <v>74</v>
      </c>
      <c r="C7" s="4" t="s">
        <v>78</v>
      </c>
      <c r="D7" s="4" t="s">
        <v>79</v>
      </c>
      <c r="E7" s="4" t="s">
        <v>80</v>
      </c>
      <c r="F7" s="4" t="n">
        <v>3</v>
      </c>
      <c r="G7" s="4" t="n">
        <v>1</v>
      </c>
      <c r="H7" s="4" t="s">
        <v>6</v>
      </c>
      <c r="I7" s="4" t="s">
        <v>69</v>
      </c>
      <c r="J7" s="4" t="n">
        <f aca="false">SUMIF('Backlog da Sprint'!$B:$B,A7,'Backlog da Sprint'!$G:$G)</f>
        <v>9</v>
      </c>
      <c r="K7" s="8" t="n">
        <f aca="false">J7*'Visão Geral'!$B$9</f>
        <v>315</v>
      </c>
    </row>
    <row r="8" customFormat="false" ht="28.35" hidden="false" customHeight="false" outlineLevel="0" collapsed="false">
      <c r="A8" s="4" t="s">
        <v>81</v>
      </c>
      <c r="B8" s="4" t="s">
        <v>82</v>
      </c>
      <c r="C8" s="4" t="s">
        <v>83</v>
      </c>
      <c r="D8" s="4" t="s">
        <v>84</v>
      </c>
      <c r="E8" s="4" t="s">
        <v>67</v>
      </c>
      <c r="F8" s="4" t="n">
        <v>5</v>
      </c>
      <c r="G8" s="4" t="n">
        <v>1</v>
      </c>
      <c r="H8" s="4" t="s">
        <v>9</v>
      </c>
      <c r="I8" s="4" t="s">
        <v>69</v>
      </c>
      <c r="J8" s="4" t="n">
        <f aca="false">SUMIF('Backlog da Sprint'!$B:$B,A8,'Backlog da Sprint'!$G:$G)</f>
        <v>15</v>
      </c>
      <c r="K8" s="8" t="n">
        <f aca="false">J8*'Visão Geral'!$B$9</f>
        <v>525</v>
      </c>
    </row>
    <row r="9" customFormat="false" ht="28.35" hidden="false" customHeight="false" outlineLevel="0" collapsed="false">
      <c r="A9" s="4" t="s">
        <v>85</v>
      </c>
      <c r="B9" s="4" t="s">
        <v>82</v>
      </c>
      <c r="C9" s="4" t="s">
        <v>86</v>
      </c>
      <c r="D9" s="4" t="s">
        <v>87</v>
      </c>
      <c r="E9" s="4" t="s">
        <v>67</v>
      </c>
      <c r="F9" s="4" t="n">
        <v>5</v>
      </c>
      <c r="G9" s="4" t="n">
        <v>1</v>
      </c>
      <c r="H9" s="4" t="s">
        <v>9</v>
      </c>
      <c r="I9" s="4" t="s">
        <v>69</v>
      </c>
      <c r="J9" s="4" t="n">
        <f aca="false">SUMIF('Backlog da Sprint'!$B:$B,A9,'Backlog da Sprint'!$G:$G)</f>
        <v>15</v>
      </c>
      <c r="K9" s="8" t="n">
        <f aca="false">J9*'Visão Geral'!$B$9</f>
        <v>525</v>
      </c>
    </row>
    <row r="10" customFormat="false" ht="28.35" hidden="false" customHeight="false" outlineLevel="0" collapsed="false">
      <c r="A10" s="4" t="s">
        <v>88</v>
      </c>
      <c r="B10" s="4" t="s">
        <v>89</v>
      </c>
      <c r="C10" s="4" t="s">
        <v>90</v>
      </c>
      <c r="D10" s="4" t="s">
        <v>91</v>
      </c>
      <c r="E10" s="4" t="s">
        <v>67</v>
      </c>
      <c r="F10" s="4" t="n">
        <v>8</v>
      </c>
      <c r="G10" s="4" t="n">
        <v>2</v>
      </c>
      <c r="H10" s="4" t="s">
        <v>68</v>
      </c>
      <c r="I10" s="4" t="s">
        <v>92</v>
      </c>
      <c r="J10" s="4" t="n">
        <f aca="false">SUMIF('Backlog da Sprint'!$B:$B,A10,'Backlog da Sprint'!$G:$G)</f>
        <v>24</v>
      </c>
      <c r="K10" s="8" t="n">
        <f aca="false">J10*'Visão Geral'!$B$9</f>
        <v>840</v>
      </c>
    </row>
    <row r="11" customFormat="false" ht="28.35" hidden="false" customHeight="false" outlineLevel="0" collapsed="false">
      <c r="A11" s="4" t="s">
        <v>93</v>
      </c>
      <c r="B11" s="4" t="s">
        <v>89</v>
      </c>
      <c r="C11" s="4" t="s">
        <v>94</v>
      </c>
      <c r="D11" s="4" t="s">
        <v>95</v>
      </c>
      <c r="E11" s="4" t="s">
        <v>67</v>
      </c>
      <c r="F11" s="4" t="n">
        <v>5</v>
      </c>
      <c r="G11" s="4" t="n">
        <v>2</v>
      </c>
      <c r="H11" s="4" t="s">
        <v>6</v>
      </c>
      <c r="I11" s="4" t="s">
        <v>92</v>
      </c>
      <c r="J11" s="4" t="n">
        <f aca="false">SUMIF('Backlog da Sprint'!$B:$B,A11,'Backlog da Sprint'!$G:$G)</f>
        <v>15</v>
      </c>
      <c r="K11" s="8" t="n">
        <f aca="false">J11*'Visão Geral'!$B$9</f>
        <v>525</v>
      </c>
    </row>
    <row r="12" customFormat="false" ht="28.35" hidden="false" customHeight="false" outlineLevel="0" collapsed="false">
      <c r="A12" s="4" t="s">
        <v>96</v>
      </c>
      <c r="B12" s="4" t="s">
        <v>89</v>
      </c>
      <c r="C12" s="4" t="s">
        <v>97</v>
      </c>
      <c r="D12" s="4" t="s">
        <v>98</v>
      </c>
      <c r="E12" s="4" t="s">
        <v>80</v>
      </c>
      <c r="F12" s="4" t="n">
        <v>3</v>
      </c>
      <c r="G12" s="4" t="n">
        <v>2</v>
      </c>
      <c r="H12" s="4" t="s">
        <v>9</v>
      </c>
      <c r="I12" s="4" t="s">
        <v>92</v>
      </c>
      <c r="J12" s="4" t="n">
        <f aca="false">SUMIF('Backlog da Sprint'!$B:$B,A12,'Backlog da Sprint'!$G:$G)</f>
        <v>9</v>
      </c>
      <c r="K12" s="8" t="n">
        <f aca="false">J12*'Visão Geral'!$B$9</f>
        <v>315</v>
      </c>
    </row>
    <row r="13" customFormat="false" ht="41.75" hidden="false" customHeight="false" outlineLevel="0" collapsed="false">
      <c r="A13" s="4" t="s">
        <v>99</v>
      </c>
      <c r="B13" s="4" t="s">
        <v>89</v>
      </c>
      <c r="C13" s="4" t="s">
        <v>100</v>
      </c>
      <c r="D13" s="4" t="s">
        <v>101</v>
      </c>
      <c r="E13" s="4" t="s">
        <v>80</v>
      </c>
      <c r="F13" s="4" t="n">
        <v>5</v>
      </c>
      <c r="G13" s="4" t="n">
        <v>2</v>
      </c>
      <c r="H13" s="4" t="s">
        <v>9</v>
      </c>
      <c r="I13" s="4" t="s">
        <v>92</v>
      </c>
      <c r="J13" s="4" t="n">
        <f aca="false">SUMIF('Backlog da Sprint'!$B:$B,A13,'Backlog da Sprint'!$G:$G)</f>
        <v>15</v>
      </c>
      <c r="K13" s="8" t="n">
        <f aca="false">J13*'Visão Geral'!$B$9</f>
        <v>525</v>
      </c>
    </row>
    <row r="14" customFormat="false" ht="28.35" hidden="false" customHeight="false" outlineLevel="0" collapsed="false">
      <c r="A14" s="4" t="s">
        <v>102</v>
      </c>
      <c r="B14" s="4" t="s">
        <v>103</v>
      </c>
      <c r="C14" s="4" t="s">
        <v>104</v>
      </c>
      <c r="D14" s="4" t="s">
        <v>105</v>
      </c>
      <c r="E14" s="4" t="s">
        <v>67</v>
      </c>
      <c r="F14" s="4" t="n">
        <v>5</v>
      </c>
      <c r="G14" s="4" t="n">
        <v>2</v>
      </c>
      <c r="H14" s="4" t="s">
        <v>6</v>
      </c>
      <c r="I14" s="4" t="s">
        <v>92</v>
      </c>
      <c r="J14" s="4" t="n">
        <f aca="false">SUMIF('Backlog da Sprint'!$B:$B,A14,'Backlog da Sprint'!$G:$G)</f>
        <v>15</v>
      </c>
      <c r="K14" s="8" t="n">
        <f aca="false">J14*'Visão Geral'!$B$9</f>
        <v>525</v>
      </c>
    </row>
    <row r="15" customFormat="false" ht="28.35" hidden="false" customHeight="false" outlineLevel="0" collapsed="false">
      <c r="A15" s="4" t="s">
        <v>106</v>
      </c>
      <c r="B15" s="4" t="s">
        <v>89</v>
      </c>
      <c r="C15" s="4" t="s">
        <v>107</v>
      </c>
      <c r="D15" s="4" t="s">
        <v>108</v>
      </c>
      <c r="E15" s="4" t="s">
        <v>67</v>
      </c>
      <c r="F15" s="4" t="n">
        <v>8</v>
      </c>
      <c r="G15" s="4" t="n">
        <v>3</v>
      </c>
      <c r="H15" s="4" t="s">
        <v>68</v>
      </c>
      <c r="I15" s="4" t="s">
        <v>92</v>
      </c>
      <c r="J15" s="4" t="n">
        <f aca="false">SUMIF('Backlog da Sprint'!$B:$B,A15,'Backlog da Sprint'!$G:$G)</f>
        <v>24</v>
      </c>
      <c r="K15" s="8" t="n">
        <f aca="false">J15*'Visão Geral'!$B$9</f>
        <v>840</v>
      </c>
    </row>
    <row r="16" customFormat="false" ht="28.35" hidden="false" customHeight="false" outlineLevel="0" collapsed="false">
      <c r="A16" s="4" t="s">
        <v>109</v>
      </c>
      <c r="B16" s="4" t="s">
        <v>89</v>
      </c>
      <c r="C16" s="4" t="s">
        <v>110</v>
      </c>
      <c r="D16" s="4" t="s">
        <v>111</v>
      </c>
      <c r="E16" s="4" t="s">
        <v>67</v>
      </c>
      <c r="F16" s="4" t="n">
        <v>5</v>
      </c>
      <c r="G16" s="4" t="n">
        <v>3</v>
      </c>
      <c r="H16" s="4" t="s">
        <v>9</v>
      </c>
      <c r="I16" s="4" t="s">
        <v>92</v>
      </c>
      <c r="J16" s="4" t="n">
        <f aca="false">SUMIF('Backlog da Sprint'!$B:$B,A16,'Backlog da Sprint'!$G:$G)</f>
        <v>15</v>
      </c>
      <c r="K16" s="8" t="n">
        <f aca="false">J16*'Visão Geral'!$B$9</f>
        <v>525</v>
      </c>
    </row>
    <row r="17" customFormat="false" ht="28.35" hidden="false" customHeight="false" outlineLevel="0" collapsed="false">
      <c r="A17" s="4" t="s">
        <v>112</v>
      </c>
      <c r="B17" s="4" t="s">
        <v>89</v>
      </c>
      <c r="C17" s="4" t="s">
        <v>113</v>
      </c>
      <c r="D17" s="4" t="s">
        <v>114</v>
      </c>
      <c r="E17" s="4" t="s">
        <v>67</v>
      </c>
      <c r="F17" s="4" t="n">
        <v>3</v>
      </c>
      <c r="G17" s="4" t="n">
        <v>3</v>
      </c>
      <c r="H17" s="4" t="s">
        <v>6</v>
      </c>
      <c r="I17" s="4" t="s">
        <v>92</v>
      </c>
      <c r="J17" s="4" t="n">
        <f aca="false">SUMIF('Backlog da Sprint'!$B:$B,A17,'Backlog da Sprint'!$G:$G)</f>
        <v>9</v>
      </c>
      <c r="K17" s="8" t="n">
        <f aca="false">J17*'Visão Geral'!$B$9</f>
        <v>315</v>
      </c>
    </row>
    <row r="18" customFormat="false" ht="28.35" hidden="false" customHeight="false" outlineLevel="0" collapsed="false">
      <c r="A18" s="4" t="s">
        <v>115</v>
      </c>
      <c r="B18" s="4" t="s">
        <v>89</v>
      </c>
      <c r="C18" s="4" t="s">
        <v>116</v>
      </c>
      <c r="D18" s="4" t="s">
        <v>117</v>
      </c>
      <c r="E18" s="4" t="s">
        <v>67</v>
      </c>
      <c r="F18" s="4" t="n">
        <v>5</v>
      </c>
      <c r="G18" s="4" t="n">
        <v>3</v>
      </c>
      <c r="H18" s="4" t="s">
        <v>9</v>
      </c>
      <c r="I18" s="4" t="s">
        <v>92</v>
      </c>
      <c r="J18" s="4" t="n">
        <f aca="false">SUMIF('Backlog da Sprint'!$B:$B,A18,'Backlog da Sprint'!$G:$G)</f>
        <v>15</v>
      </c>
      <c r="K18" s="8" t="n">
        <f aca="false">J18*'Visão Geral'!$B$9</f>
        <v>525</v>
      </c>
    </row>
    <row r="19" customFormat="false" ht="28.35" hidden="false" customHeight="false" outlineLevel="0" collapsed="false">
      <c r="A19" s="4" t="s">
        <v>118</v>
      </c>
      <c r="B19" s="4" t="s">
        <v>103</v>
      </c>
      <c r="C19" s="4" t="s">
        <v>119</v>
      </c>
      <c r="D19" s="4" t="s">
        <v>120</v>
      </c>
      <c r="E19" s="4" t="s">
        <v>67</v>
      </c>
      <c r="F19" s="4" t="n">
        <v>5</v>
      </c>
      <c r="G19" s="4" t="n">
        <v>3</v>
      </c>
      <c r="H19" s="4" t="s">
        <v>6</v>
      </c>
      <c r="I19" s="4" t="s">
        <v>92</v>
      </c>
      <c r="J19" s="4" t="n">
        <f aca="false">SUMIF('Backlog da Sprint'!$B:$B,A19,'Backlog da Sprint'!$G:$G)</f>
        <v>15</v>
      </c>
      <c r="K19" s="8" t="n">
        <f aca="false">J19*'Visão Geral'!$B$9</f>
        <v>525</v>
      </c>
    </row>
    <row r="20" customFormat="false" ht="28.35" hidden="false" customHeight="false" outlineLevel="0" collapsed="false">
      <c r="A20" s="4" t="s">
        <v>121</v>
      </c>
      <c r="B20" s="4" t="s">
        <v>89</v>
      </c>
      <c r="C20" s="4" t="s">
        <v>122</v>
      </c>
      <c r="D20" s="4" t="s">
        <v>123</v>
      </c>
      <c r="E20" s="4" t="s">
        <v>80</v>
      </c>
      <c r="F20" s="4" t="n">
        <v>5</v>
      </c>
      <c r="G20" s="4" t="n">
        <v>4</v>
      </c>
      <c r="H20" s="4" t="s">
        <v>9</v>
      </c>
      <c r="I20" s="4" t="s">
        <v>92</v>
      </c>
      <c r="J20" s="4" t="n">
        <f aca="false">SUMIF('Backlog da Sprint'!$B:$B,A20,'Backlog da Sprint'!$G:$G)</f>
        <v>15</v>
      </c>
      <c r="K20" s="8" t="n">
        <f aca="false">J20*'Visão Geral'!$B$9</f>
        <v>525</v>
      </c>
    </row>
    <row r="21" customFormat="false" ht="28.35" hidden="false" customHeight="false" outlineLevel="0" collapsed="false">
      <c r="A21" s="4" t="s">
        <v>124</v>
      </c>
      <c r="B21" s="4" t="s">
        <v>103</v>
      </c>
      <c r="C21" s="4" t="s">
        <v>125</v>
      </c>
      <c r="D21" s="4" t="s">
        <v>126</v>
      </c>
      <c r="E21" s="4" t="s">
        <v>80</v>
      </c>
      <c r="F21" s="4" t="n">
        <v>3</v>
      </c>
      <c r="G21" s="4" t="n">
        <v>4</v>
      </c>
      <c r="H21" s="4" t="s">
        <v>9</v>
      </c>
      <c r="I21" s="4" t="s">
        <v>92</v>
      </c>
      <c r="J21" s="4" t="n">
        <f aca="false">SUMIF('Backlog da Sprint'!$B:$B,A21,'Backlog da Sprint'!$G:$G)</f>
        <v>9</v>
      </c>
      <c r="K21" s="8" t="n">
        <f aca="false">J21*'Visão Geral'!$B$9</f>
        <v>315</v>
      </c>
    </row>
    <row r="22" customFormat="false" ht="28.35" hidden="false" customHeight="false" outlineLevel="0" collapsed="false">
      <c r="A22" s="4" t="s">
        <v>127</v>
      </c>
      <c r="B22" s="4" t="s">
        <v>128</v>
      </c>
      <c r="C22" s="4" t="s">
        <v>129</v>
      </c>
      <c r="D22" s="4" t="s">
        <v>130</v>
      </c>
      <c r="E22" s="4" t="s">
        <v>80</v>
      </c>
      <c r="F22" s="4" t="n">
        <v>5</v>
      </c>
      <c r="G22" s="4" t="n">
        <v>4</v>
      </c>
      <c r="H22" s="4" t="s">
        <v>68</v>
      </c>
      <c r="I22" s="4" t="s">
        <v>92</v>
      </c>
      <c r="J22" s="4" t="n">
        <f aca="false">SUMIF('Backlog da Sprint'!$B:$B,A22,'Backlog da Sprint'!$G:$G)</f>
        <v>15</v>
      </c>
      <c r="K22" s="8" t="n">
        <f aca="false">J22*'Visão Geral'!$B$9</f>
        <v>525</v>
      </c>
    </row>
    <row r="23" customFormat="false" ht="28.35" hidden="false" customHeight="false" outlineLevel="0" collapsed="false">
      <c r="A23" s="4" t="s">
        <v>131</v>
      </c>
      <c r="B23" s="4" t="s">
        <v>128</v>
      </c>
      <c r="C23" s="4" t="s">
        <v>132</v>
      </c>
      <c r="D23" s="4" t="s">
        <v>133</v>
      </c>
      <c r="E23" s="4" t="s">
        <v>80</v>
      </c>
      <c r="F23" s="4" t="n">
        <v>5</v>
      </c>
      <c r="G23" s="4" t="n">
        <v>4</v>
      </c>
      <c r="H23" s="4" t="s">
        <v>6</v>
      </c>
      <c r="I23" s="4" t="s">
        <v>92</v>
      </c>
      <c r="J23" s="4" t="n">
        <f aca="false">SUMIF('Backlog da Sprint'!$B:$B,A23,'Backlog da Sprint'!$G:$G)</f>
        <v>15</v>
      </c>
      <c r="K23" s="8" t="n">
        <f aca="false">J23*'Visão Geral'!$B$9</f>
        <v>525</v>
      </c>
    </row>
    <row r="24" customFormat="false" ht="28.35" hidden="false" customHeight="false" outlineLevel="0" collapsed="false">
      <c r="A24" s="4" t="s">
        <v>134</v>
      </c>
      <c r="B24" s="4" t="s">
        <v>135</v>
      </c>
      <c r="C24" s="4" t="s">
        <v>136</v>
      </c>
      <c r="D24" s="4" t="s">
        <v>137</v>
      </c>
      <c r="E24" s="4" t="s">
        <v>67</v>
      </c>
      <c r="F24" s="4" t="n">
        <v>5</v>
      </c>
      <c r="G24" s="4" t="n">
        <v>4</v>
      </c>
      <c r="H24" s="4" t="s">
        <v>68</v>
      </c>
      <c r="I24" s="4" t="s">
        <v>92</v>
      </c>
      <c r="J24" s="4" t="n">
        <f aca="false">SUMIF('Backlog da Sprint'!$B:$B,A24,'Backlog da Sprint'!$G:$G)</f>
        <v>15</v>
      </c>
      <c r="K24" s="8" t="n">
        <f aca="false">J24*'Visão Geral'!$B$9</f>
        <v>525</v>
      </c>
    </row>
    <row r="25" customFormat="false" ht="28.35" hidden="false" customHeight="false" outlineLevel="0" collapsed="false">
      <c r="A25" s="4" t="s">
        <v>138</v>
      </c>
      <c r="B25" s="4" t="s">
        <v>135</v>
      </c>
      <c r="C25" s="4" t="s">
        <v>139</v>
      </c>
      <c r="D25" s="4" t="s">
        <v>36</v>
      </c>
      <c r="E25" s="4" t="s">
        <v>80</v>
      </c>
      <c r="F25" s="4" t="n">
        <v>3</v>
      </c>
      <c r="G25" s="4" t="n">
        <v>4</v>
      </c>
      <c r="H25" s="4" t="s">
        <v>6</v>
      </c>
      <c r="I25" s="4" t="s">
        <v>92</v>
      </c>
      <c r="J25" s="4" t="n">
        <f aca="false">SUMIF('Backlog da Sprint'!$B:$B,A25,'Backlog da Sprint'!$G:$G)</f>
        <v>9</v>
      </c>
      <c r="K25" s="8" t="n">
        <f aca="false">J25*'Visão Geral'!$B$9</f>
        <v>315</v>
      </c>
    </row>
    <row r="26" customFormat="false" ht="28.35" hidden="false" customHeight="false" outlineLevel="0" collapsed="false">
      <c r="A26" s="4" t="s">
        <v>140</v>
      </c>
      <c r="B26" s="4" t="s">
        <v>135</v>
      </c>
      <c r="C26" s="4" t="s">
        <v>141</v>
      </c>
      <c r="D26" s="4" t="s">
        <v>142</v>
      </c>
      <c r="E26" s="4" t="s">
        <v>143</v>
      </c>
      <c r="F26" s="4" t="n">
        <v>5</v>
      </c>
      <c r="G26" s="4" t="s">
        <v>36</v>
      </c>
      <c r="H26" s="4" t="s">
        <v>144</v>
      </c>
      <c r="I26" s="4" t="s">
        <v>92</v>
      </c>
      <c r="J26" s="4" t="n">
        <f aca="false">SUMIF('Backlog da Sprint'!$B:$B,A26,'Backlog da Sprint'!$G:$G)</f>
        <v>15</v>
      </c>
      <c r="K26" s="8" t="n">
        <f aca="false">J26*'Visão Geral'!$B$9</f>
        <v>525</v>
      </c>
    </row>
    <row r="27" customFormat="false" ht="15" hidden="false" customHeight="false" outlineLevel="0" collapsed="false">
      <c r="C27" s="12" t="s">
        <v>39</v>
      </c>
      <c r="F27" s="12" t="n">
        <f aca="false">SUM(F4:F26)</f>
        <v>107</v>
      </c>
      <c r="J27" s="12" t="n">
        <f aca="false">SUM(J4:J26)</f>
        <v>321</v>
      </c>
      <c r="K27" s="13" t="n">
        <f aca="false">SUM(K4:K26)</f>
        <v>11235</v>
      </c>
    </row>
  </sheetData>
  <autoFilter ref="A3:K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3" customFormat="false" ht="15" hidden="false" customHeight="false" outlineLevel="0" collapsed="false">
      <c r="A3" s="3" t="s">
        <v>56</v>
      </c>
      <c r="B3" s="3" t="s">
        <v>41</v>
      </c>
      <c r="C3" s="3" t="s">
        <v>17</v>
      </c>
      <c r="D3" s="3" t="s">
        <v>147</v>
      </c>
      <c r="E3" s="3" t="s">
        <v>148</v>
      </c>
      <c r="F3" s="3" t="s">
        <v>61</v>
      </c>
      <c r="G3" s="3" t="s">
        <v>23</v>
      </c>
      <c r="H3" s="3" t="s">
        <v>19</v>
      </c>
      <c r="I3" s="3" t="s">
        <v>20</v>
      </c>
      <c r="J3" s="3" t="s">
        <v>62</v>
      </c>
      <c r="K3" s="3" t="s">
        <v>24</v>
      </c>
    </row>
    <row r="4" customFormat="false" ht="28.35" hidden="false" customHeight="false" outlineLevel="0" collapsed="false">
      <c r="A4" s="4" t="s">
        <v>149</v>
      </c>
      <c r="B4" s="4" t="s">
        <v>150</v>
      </c>
      <c r="C4" s="4" t="n">
        <v>0</v>
      </c>
      <c r="D4" s="4" t="s">
        <v>151</v>
      </c>
      <c r="E4" s="4" t="s">
        <v>152</v>
      </c>
      <c r="F4" s="4" t="s">
        <v>153</v>
      </c>
      <c r="G4" s="4"/>
      <c r="H4" s="14" t="n">
        <f aca="false">IFERROR(INDEX('Visão Geral'!$C$12:$C$16,MATCH(C4,'Visão Geral'!$A$12:$A$16,0)),"A definir")</f>
        <v>46307</v>
      </c>
      <c r="I4" s="14" t="n">
        <f aca="false">IFERROR(INDEX('Visão Geral'!$D$12:$D$16,MATCH(C4,'Visão Geral'!$A$12:$A$16,0)),"A definir")</f>
        <v>46316</v>
      </c>
      <c r="J4" s="4" t="s">
        <v>154</v>
      </c>
      <c r="K4" s="8" t="n">
        <f aca="false">G4*'Visão Geral'!$B$9</f>
        <v>0</v>
      </c>
    </row>
    <row r="5" customFormat="false" ht="15" hidden="false" customHeight="false" outlineLevel="0" collapsed="false">
      <c r="A5" s="4" t="s">
        <v>155</v>
      </c>
      <c r="B5" s="4" t="s">
        <v>150</v>
      </c>
      <c r="C5" s="4" t="n">
        <v>0</v>
      </c>
      <c r="D5" s="4" t="s">
        <v>156</v>
      </c>
      <c r="E5" s="4" t="s">
        <v>157</v>
      </c>
      <c r="F5" s="4" t="s">
        <v>153</v>
      </c>
      <c r="G5" s="4"/>
      <c r="H5" s="14" t="n">
        <f aca="false">IFERROR(INDEX('Visão Geral'!$C$12:$C$16,MATCH(C5,'Visão Geral'!$A$12:$A$16,0)),"A definir")</f>
        <v>46307</v>
      </c>
      <c r="I5" s="14" t="n">
        <f aca="false">IFERROR(INDEX('Visão Geral'!$D$12:$D$16,MATCH(C5,'Visão Geral'!$A$12:$A$16,0)),"A definir")</f>
        <v>46316</v>
      </c>
      <c r="J5" s="4" t="s">
        <v>154</v>
      </c>
      <c r="K5" s="8" t="n">
        <f aca="false">G5*'Visão Geral'!$B$9</f>
        <v>0</v>
      </c>
    </row>
    <row r="6" customFormat="false" ht="15" hidden="false" customHeight="false" outlineLevel="0" collapsed="false">
      <c r="A6" s="4" t="s">
        <v>158</v>
      </c>
      <c r="B6" s="4" t="s">
        <v>150</v>
      </c>
      <c r="C6" s="4" t="n">
        <v>0</v>
      </c>
      <c r="D6" s="4" t="s">
        <v>159</v>
      </c>
      <c r="E6" s="4" t="s">
        <v>160</v>
      </c>
      <c r="F6" s="4" t="s">
        <v>153</v>
      </c>
      <c r="G6" s="4"/>
      <c r="H6" s="14" t="n">
        <f aca="false">IFERROR(INDEX('Visão Geral'!$C$12:$C$16,MATCH(C6,'Visão Geral'!$A$12:$A$16,0)),"A definir")</f>
        <v>46307</v>
      </c>
      <c r="I6" s="14" t="n">
        <f aca="false">IFERROR(INDEX('Visão Geral'!$D$12:$D$16,MATCH(C6,'Visão Geral'!$A$12:$A$16,0)),"A definir")</f>
        <v>46316</v>
      </c>
      <c r="J6" s="4" t="s">
        <v>154</v>
      </c>
      <c r="K6" s="8" t="n">
        <f aca="false">G6*'Visão Geral'!$B$9</f>
        <v>0</v>
      </c>
    </row>
    <row r="7" customFormat="false" ht="28.35" hidden="false" customHeight="false" outlineLevel="0" collapsed="false">
      <c r="A7" s="4" t="s">
        <v>161</v>
      </c>
      <c r="B7" s="4" t="s">
        <v>150</v>
      </c>
      <c r="C7" s="4" t="n">
        <v>0</v>
      </c>
      <c r="D7" s="4" t="s">
        <v>162</v>
      </c>
      <c r="E7" s="4" t="s">
        <v>163</v>
      </c>
      <c r="F7" s="4" t="s">
        <v>153</v>
      </c>
      <c r="G7" s="4"/>
      <c r="H7" s="14" t="n">
        <f aca="false">IFERROR(INDEX('Visão Geral'!$C$12:$C$16,MATCH(C7,'Visão Geral'!$A$12:$A$16,0)),"A definir")</f>
        <v>46307</v>
      </c>
      <c r="I7" s="14" t="n">
        <f aca="false">IFERROR(INDEX('Visão Geral'!$D$12:$D$16,MATCH(C7,'Visão Geral'!$A$12:$A$16,0)),"A definir")</f>
        <v>46316</v>
      </c>
      <c r="J7" s="4" t="s">
        <v>154</v>
      </c>
      <c r="K7" s="8" t="n">
        <f aca="false">G7*'Visão Geral'!$B$9</f>
        <v>0</v>
      </c>
    </row>
    <row r="8" customFormat="false" ht="28.35" hidden="false" customHeight="false" outlineLevel="0" collapsed="false">
      <c r="A8" s="4" t="s">
        <v>164</v>
      </c>
      <c r="B8" s="4" t="s">
        <v>150</v>
      </c>
      <c r="C8" s="4" t="n">
        <v>0</v>
      </c>
      <c r="D8" s="4" t="s">
        <v>165</v>
      </c>
      <c r="E8" s="4" t="s">
        <v>166</v>
      </c>
      <c r="F8" s="4" t="s">
        <v>153</v>
      </c>
      <c r="G8" s="4"/>
      <c r="H8" s="14" t="n">
        <f aca="false">IFERROR(INDEX('Visão Geral'!$C$12:$C$16,MATCH(C8,'Visão Geral'!$A$12:$A$16,0)),"A definir")</f>
        <v>46307</v>
      </c>
      <c r="I8" s="14" t="n">
        <f aca="false">IFERROR(INDEX('Visão Geral'!$D$12:$D$16,MATCH(C8,'Visão Geral'!$A$12:$A$16,0)),"A definir")</f>
        <v>46316</v>
      </c>
      <c r="J8" s="4" t="s">
        <v>154</v>
      </c>
      <c r="K8" s="8" t="n">
        <f aca="false">G8*'Visão Geral'!$B$9</f>
        <v>0</v>
      </c>
    </row>
    <row r="9" customFormat="false" ht="28.35" hidden="false" customHeight="false" outlineLevel="0" collapsed="false">
      <c r="A9" s="4" t="s">
        <v>167</v>
      </c>
      <c r="B9" s="4" t="s">
        <v>150</v>
      </c>
      <c r="C9" s="4" t="n">
        <v>0</v>
      </c>
      <c r="D9" s="4" t="s">
        <v>168</v>
      </c>
      <c r="E9" s="4" t="s">
        <v>169</v>
      </c>
      <c r="F9" s="4" t="s">
        <v>153</v>
      </c>
      <c r="G9" s="4"/>
      <c r="H9" s="14" t="n">
        <f aca="false">IFERROR(INDEX('Visão Geral'!$C$12:$C$16,MATCH(C9,'Visão Geral'!$A$12:$A$16,0)),"A definir")</f>
        <v>46307</v>
      </c>
      <c r="I9" s="14" t="n">
        <f aca="false">IFERROR(INDEX('Visão Geral'!$D$12:$D$16,MATCH(C9,'Visão Geral'!$A$12:$A$16,0)),"A definir")</f>
        <v>46316</v>
      </c>
      <c r="J9" s="4" t="s">
        <v>154</v>
      </c>
      <c r="K9" s="8" t="n">
        <f aca="false">G9*'Visão Geral'!$B$9</f>
        <v>0</v>
      </c>
    </row>
    <row r="10" customFormat="false" ht="28.35" hidden="false" customHeight="false" outlineLevel="0" collapsed="false">
      <c r="A10" s="4" t="s">
        <v>170</v>
      </c>
      <c r="B10" s="4" t="s">
        <v>150</v>
      </c>
      <c r="C10" s="4" t="n">
        <v>0</v>
      </c>
      <c r="D10" s="4" t="s">
        <v>171</v>
      </c>
      <c r="E10" s="4" t="s">
        <v>172</v>
      </c>
      <c r="F10" s="4" t="s">
        <v>153</v>
      </c>
      <c r="G10" s="4"/>
      <c r="H10" s="14" t="n">
        <f aca="false">IFERROR(INDEX('Visão Geral'!$C$12:$C$16,MATCH(C10,'Visão Geral'!$A$12:$A$16,0)),"A definir")</f>
        <v>46307</v>
      </c>
      <c r="I10" s="14" t="n">
        <f aca="false">IFERROR(INDEX('Visão Geral'!$D$12:$D$16,MATCH(C10,'Visão Geral'!$A$12:$A$16,0)),"A definir")</f>
        <v>46316</v>
      </c>
      <c r="J10" s="4" t="s">
        <v>173</v>
      </c>
      <c r="K10" s="8" t="n">
        <f aca="false">G10*'Visão Geral'!$B$9</f>
        <v>0</v>
      </c>
    </row>
    <row r="11" customFormat="false" ht="15" hidden="false" customHeight="false" outlineLevel="0" collapsed="false">
      <c r="A11" s="4" t="s">
        <v>174</v>
      </c>
      <c r="B11" s="4" t="s">
        <v>150</v>
      </c>
      <c r="C11" s="4" t="n">
        <v>0</v>
      </c>
      <c r="D11" s="4" t="s">
        <v>175</v>
      </c>
      <c r="E11" s="4" t="s">
        <v>176</v>
      </c>
      <c r="F11" s="4" t="s">
        <v>153</v>
      </c>
      <c r="G11" s="4"/>
      <c r="H11" s="14" t="n">
        <f aca="false">IFERROR(INDEX('Visão Geral'!$C$12:$C$16,MATCH(C11,'Visão Geral'!$A$12:$A$16,0)),"A definir")</f>
        <v>46307</v>
      </c>
      <c r="I11" s="14" t="n">
        <f aca="false">IFERROR(INDEX('Visão Geral'!$D$12:$D$16,MATCH(C11,'Visão Geral'!$A$12:$A$16,0)),"A definir")</f>
        <v>46316</v>
      </c>
      <c r="J11" s="4" t="s">
        <v>173</v>
      </c>
      <c r="K11" s="8" t="n">
        <f aca="false">G11*'Visão Geral'!$B$9</f>
        <v>0</v>
      </c>
    </row>
    <row r="12" customFormat="false" ht="28.35" hidden="false" customHeight="false" outlineLevel="0" collapsed="false">
      <c r="A12" s="4" t="s">
        <v>177</v>
      </c>
      <c r="B12" s="4" t="s">
        <v>63</v>
      </c>
      <c r="C12" s="4" t="n">
        <v>1</v>
      </c>
      <c r="D12" s="4" t="s">
        <v>178</v>
      </c>
      <c r="E12" s="4" t="s">
        <v>179</v>
      </c>
      <c r="F12" s="4" t="s">
        <v>68</v>
      </c>
      <c r="G12" s="4" t="n">
        <v>2</v>
      </c>
      <c r="H12" s="14" t="n">
        <f aca="false">IFERROR(INDEX('Visão Geral'!$C$12:$C$16,MATCH(C12,'Visão Geral'!$A$12:$A$16,0)),"A definir")</f>
        <v>46317</v>
      </c>
      <c r="I12" s="14" t="n">
        <f aca="false">IFERROR(INDEX('Visão Geral'!$D$12:$D$16,MATCH(C12,'Visão Geral'!$A$12:$A$16,0)),"A definir")</f>
        <v>46323</v>
      </c>
      <c r="J12" s="4" t="s">
        <v>69</v>
      </c>
      <c r="K12" s="8" t="n">
        <f aca="false">G12*'Visão Geral'!$B$9</f>
        <v>70</v>
      </c>
    </row>
    <row r="13" customFormat="false" ht="28.35" hidden="false" customHeight="false" outlineLevel="0" collapsed="false">
      <c r="A13" s="4" t="s">
        <v>180</v>
      </c>
      <c r="B13" s="4" t="s">
        <v>63</v>
      </c>
      <c r="C13" s="4" t="n">
        <v>1</v>
      </c>
      <c r="D13" s="4" t="s">
        <v>181</v>
      </c>
      <c r="E13" s="4" t="s">
        <v>182</v>
      </c>
      <c r="F13" s="4" t="s">
        <v>68</v>
      </c>
      <c r="G13" s="4" t="n">
        <v>4</v>
      </c>
      <c r="H13" s="14" t="n">
        <f aca="false">IFERROR(INDEX('Visão Geral'!$C$12:$C$16,MATCH(C13,'Visão Geral'!$A$12:$A$16,0)),"A definir")</f>
        <v>46317</v>
      </c>
      <c r="I13" s="14" t="n">
        <f aca="false">IFERROR(INDEX('Visão Geral'!$D$12:$D$16,MATCH(C13,'Visão Geral'!$A$12:$A$16,0)),"A definir")</f>
        <v>46323</v>
      </c>
      <c r="J13" s="4" t="s">
        <v>69</v>
      </c>
      <c r="K13" s="8" t="n">
        <f aca="false">G13*'Visão Geral'!$B$9</f>
        <v>140</v>
      </c>
    </row>
    <row r="14" customFormat="false" ht="15" hidden="false" customHeight="false" outlineLevel="0" collapsed="false">
      <c r="A14" s="4" t="s">
        <v>183</v>
      </c>
      <c r="B14" s="4" t="s">
        <v>63</v>
      </c>
      <c r="C14" s="4" t="n">
        <v>1</v>
      </c>
      <c r="D14" s="4" t="s">
        <v>184</v>
      </c>
      <c r="E14" s="4" t="s">
        <v>185</v>
      </c>
      <c r="F14" s="4" t="s">
        <v>68</v>
      </c>
      <c r="G14" s="4" t="n">
        <v>3</v>
      </c>
      <c r="H14" s="14" t="n">
        <f aca="false">IFERROR(INDEX('Visão Geral'!$C$12:$C$16,MATCH(C14,'Visão Geral'!$A$12:$A$16,0)),"A definir")</f>
        <v>46317</v>
      </c>
      <c r="I14" s="14" t="n">
        <f aca="false">IFERROR(INDEX('Visão Geral'!$D$12:$D$16,MATCH(C14,'Visão Geral'!$A$12:$A$16,0)),"A definir")</f>
        <v>46323</v>
      </c>
      <c r="J14" s="4" t="s">
        <v>69</v>
      </c>
      <c r="K14" s="8" t="n">
        <f aca="false">G14*'Visão Geral'!$B$9</f>
        <v>105</v>
      </c>
    </row>
    <row r="15" customFormat="false" ht="28.35" hidden="false" customHeight="false" outlineLevel="0" collapsed="false">
      <c r="A15" s="4" t="s">
        <v>186</v>
      </c>
      <c r="B15" s="4" t="s">
        <v>70</v>
      </c>
      <c r="C15" s="4" t="n">
        <v>1</v>
      </c>
      <c r="D15" s="4" t="s">
        <v>187</v>
      </c>
      <c r="E15" s="4" t="s">
        <v>188</v>
      </c>
      <c r="F15" s="4" t="s">
        <v>6</v>
      </c>
      <c r="G15" s="4" t="n">
        <v>4</v>
      </c>
      <c r="H15" s="14" t="n">
        <f aca="false">IFERROR(INDEX('Visão Geral'!$C$12:$C$16,MATCH(C15,'Visão Geral'!$A$12:$A$16,0)),"A definir")</f>
        <v>46317</v>
      </c>
      <c r="I15" s="14" t="n">
        <f aca="false">IFERROR(INDEX('Visão Geral'!$D$12:$D$16,MATCH(C15,'Visão Geral'!$A$12:$A$16,0)),"A definir")</f>
        <v>46323</v>
      </c>
      <c r="J15" s="4" t="s">
        <v>69</v>
      </c>
      <c r="K15" s="8" t="n">
        <f aca="false">G15*'Visão Geral'!$B$9</f>
        <v>140</v>
      </c>
    </row>
    <row r="16" customFormat="false" ht="15" hidden="false" customHeight="false" outlineLevel="0" collapsed="false">
      <c r="A16" s="4" t="s">
        <v>189</v>
      </c>
      <c r="B16" s="4" t="s">
        <v>70</v>
      </c>
      <c r="C16" s="4" t="n">
        <v>1</v>
      </c>
      <c r="D16" s="4" t="s">
        <v>190</v>
      </c>
      <c r="E16" s="4" t="s">
        <v>191</v>
      </c>
      <c r="F16" s="4" t="s">
        <v>6</v>
      </c>
      <c r="G16" s="4" t="n">
        <v>3</v>
      </c>
      <c r="H16" s="14" t="n">
        <f aca="false">IFERROR(INDEX('Visão Geral'!$C$12:$C$16,MATCH(C16,'Visão Geral'!$A$12:$A$16,0)),"A definir")</f>
        <v>46317</v>
      </c>
      <c r="I16" s="14" t="n">
        <f aca="false">IFERROR(INDEX('Visão Geral'!$D$12:$D$16,MATCH(C16,'Visão Geral'!$A$12:$A$16,0)),"A definir")</f>
        <v>46323</v>
      </c>
      <c r="J16" s="4" t="s">
        <v>69</v>
      </c>
      <c r="K16" s="8" t="n">
        <f aca="false">G16*'Visão Geral'!$B$9</f>
        <v>105</v>
      </c>
    </row>
    <row r="17" customFormat="false" ht="15" hidden="false" customHeight="false" outlineLevel="0" collapsed="false">
      <c r="A17" s="4" t="s">
        <v>192</v>
      </c>
      <c r="B17" s="4" t="s">
        <v>70</v>
      </c>
      <c r="C17" s="4" t="n">
        <v>1</v>
      </c>
      <c r="D17" s="4" t="s">
        <v>193</v>
      </c>
      <c r="E17" s="4" t="s">
        <v>194</v>
      </c>
      <c r="F17" s="4" t="s">
        <v>6</v>
      </c>
      <c r="G17" s="4" t="n">
        <v>2</v>
      </c>
      <c r="H17" s="14" t="n">
        <f aca="false">IFERROR(INDEX('Visão Geral'!$C$12:$C$16,MATCH(C17,'Visão Geral'!$A$12:$A$16,0)),"A definir")</f>
        <v>46317</v>
      </c>
      <c r="I17" s="14" t="n">
        <f aca="false">IFERROR(INDEX('Visão Geral'!$D$12:$D$16,MATCH(C17,'Visão Geral'!$A$12:$A$16,0)),"A definir")</f>
        <v>46323</v>
      </c>
      <c r="J17" s="4" t="s">
        <v>69</v>
      </c>
      <c r="K17" s="8" t="n">
        <f aca="false">G17*'Visão Geral'!$B$9</f>
        <v>70</v>
      </c>
    </row>
    <row r="18" customFormat="false" ht="15" hidden="false" customHeight="false" outlineLevel="0" collapsed="false">
      <c r="A18" s="4" t="s">
        <v>195</v>
      </c>
      <c r="B18" s="4" t="s">
        <v>73</v>
      </c>
      <c r="C18" s="4" t="n">
        <v>1</v>
      </c>
      <c r="D18" s="4" t="s">
        <v>196</v>
      </c>
      <c r="E18" s="4" t="s">
        <v>197</v>
      </c>
      <c r="F18" s="4" t="s">
        <v>68</v>
      </c>
      <c r="G18" s="4" t="n">
        <v>5</v>
      </c>
      <c r="H18" s="14" t="n">
        <f aca="false">IFERROR(INDEX('Visão Geral'!$C$12:$C$16,MATCH(C18,'Visão Geral'!$A$12:$A$16,0)),"A definir")</f>
        <v>46317</v>
      </c>
      <c r="I18" s="14" t="n">
        <f aca="false">IFERROR(INDEX('Visão Geral'!$D$12:$D$16,MATCH(C18,'Visão Geral'!$A$12:$A$16,0)),"A definir")</f>
        <v>46323</v>
      </c>
      <c r="J18" s="4" t="s">
        <v>69</v>
      </c>
      <c r="K18" s="8" t="n">
        <f aca="false">G18*'Visão Geral'!$B$9</f>
        <v>175</v>
      </c>
    </row>
    <row r="19" customFormat="false" ht="28.35" hidden="false" customHeight="false" outlineLevel="0" collapsed="false">
      <c r="A19" s="4" t="s">
        <v>198</v>
      </c>
      <c r="B19" s="4" t="s">
        <v>73</v>
      </c>
      <c r="C19" s="4" t="n">
        <v>1</v>
      </c>
      <c r="D19" s="4" t="s">
        <v>199</v>
      </c>
      <c r="E19" s="4" t="s">
        <v>200</v>
      </c>
      <c r="F19" s="4" t="s">
        <v>68</v>
      </c>
      <c r="G19" s="4" t="n">
        <v>6</v>
      </c>
      <c r="H19" s="14" t="n">
        <f aca="false">IFERROR(INDEX('Visão Geral'!$C$12:$C$16,MATCH(C19,'Visão Geral'!$A$12:$A$16,0)),"A definir")</f>
        <v>46317</v>
      </c>
      <c r="I19" s="14" t="n">
        <f aca="false">IFERROR(INDEX('Visão Geral'!$D$12:$D$16,MATCH(C19,'Visão Geral'!$A$12:$A$16,0)),"A definir")</f>
        <v>46323</v>
      </c>
      <c r="J19" s="4" t="s">
        <v>69</v>
      </c>
      <c r="K19" s="8" t="n">
        <f aca="false">G19*'Visão Geral'!$B$9</f>
        <v>210</v>
      </c>
    </row>
    <row r="20" customFormat="false" ht="28.35" hidden="false" customHeight="false" outlineLevel="0" collapsed="false">
      <c r="A20" s="4" t="s">
        <v>201</v>
      </c>
      <c r="B20" s="4" t="s">
        <v>73</v>
      </c>
      <c r="C20" s="4" t="n">
        <v>1</v>
      </c>
      <c r="D20" s="4" t="s">
        <v>202</v>
      </c>
      <c r="E20" s="4" t="s">
        <v>203</v>
      </c>
      <c r="F20" s="4" t="s">
        <v>68</v>
      </c>
      <c r="G20" s="4" t="n">
        <v>4</v>
      </c>
      <c r="H20" s="14" t="n">
        <f aca="false">IFERROR(INDEX('Visão Geral'!$C$12:$C$16,MATCH(C20,'Visão Geral'!$A$12:$A$16,0)),"A definir")</f>
        <v>46317</v>
      </c>
      <c r="I20" s="14" t="n">
        <f aca="false">IFERROR(INDEX('Visão Geral'!$D$12:$D$16,MATCH(C20,'Visão Geral'!$A$12:$A$16,0)),"A definir")</f>
        <v>46323</v>
      </c>
      <c r="J20" s="4" t="s">
        <v>69</v>
      </c>
      <c r="K20" s="8" t="n">
        <f aca="false">G20*'Visão Geral'!$B$9</f>
        <v>140</v>
      </c>
    </row>
    <row r="21" customFormat="false" ht="15" hidden="false" customHeight="false" outlineLevel="0" collapsed="false">
      <c r="A21" s="4" t="s">
        <v>204</v>
      </c>
      <c r="B21" s="4" t="s">
        <v>77</v>
      </c>
      <c r="C21" s="4" t="n">
        <v>1</v>
      </c>
      <c r="D21" s="4" t="s">
        <v>205</v>
      </c>
      <c r="E21" s="4" t="s">
        <v>206</v>
      </c>
      <c r="F21" s="4" t="s">
        <v>6</v>
      </c>
      <c r="G21" s="4" t="n">
        <v>5</v>
      </c>
      <c r="H21" s="14" t="n">
        <f aca="false">IFERROR(INDEX('Visão Geral'!$C$12:$C$16,MATCH(C21,'Visão Geral'!$A$12:$A$16,0)),"A definir")</f>
        <v>46317</v>
      </c>
      <c r="I21" s="14" t="n">
        <f aca="false">IFERROR(INDEX('Visão Geral'!$D$12:$D$16,MATCH(C21,'Visão Geral'!$A$12:$A$16,0)),"A definir")</f>
        <v>46323</v>
      </c>
      <c r="J21" s="4" t="s">
        <v>69</v>
      </c>
      <c r="K21" s="8" t="n">
        <f aca="false">G21*'Visão Geral'!$B$9</f>
        <v>175</v>
      </c>
    </row>
    <row r="22" customFormat="false" ht="15" hidden="false" customHeight="false" outlineLevel="0" collapsed="false">
      <c r="A22" s="4" t="s">
        <v>207</v>
      </c>
      <c r="B22" s="4" t="s">
        <v>77</v>
      </c>
      <c r="C22" s="4" t="n">
        <v>1</v>
      </c>
      <c r="D22" s="4" t="s">
        <v>208</v>
      </c>
      <c r="E22" s="4" t="s">
        <v>209</v>
      </c>
      <c r="F22" s="4" t="s">
        <v>6</v>
      </c>
      <c r="G22" s="4" t="n">
        <v>2</v>
      </c>
      <c r="H22" s="14" t="n">
        <f aca="false">IFERROR(INDEX('Visão Geral'!$C$12:$C$16,MATCH(C22,'Visão Geral'!$A$12:$A$16,0)),"A definir")</f>
        <v>46317</v>
      </c>
      <c r="I22" s="14" t="n">
        <f aca="false">IFERROR(INDEX('Visão Geral'!$D$12:$D$16,MATCH(C22,'Visão Geral'!$A$12:$A$16,0)),"A definir")</f>
        <v>46323</v>
      </c>
      <c r="J22" s="4" t="s">
        <v>69</v>
      </c>
      <c r="K22" s="8" t="n">
        <f aca="false">G22*'Visão Geral'!$B$9</f>
        <v>70</v>
      </c>
    </row>
    <row r="23" customFormat="false" ht="15" hidden="false" customHeight="false" outlineLevel="0" collapsed="false">
      <c r="A23" s="4" t="s">
        <v>210</v>
      </c>
      <c r="B23" s="4" t="s">
        <v>77</v>
      </c>
      <c r="C23" s="4" t="n">
        <v>1</v>
      </c>
      <c r="D23" s="4" t="s">
        <v>211</v>
      </c>
      <c r="E23" s="4" t="s">
        <v>212</v>
      </c>
      <c r="F23" s="4" t="s">
        <v>6</v>
      </c>
      <c r="G23" s="4" t="n">
        <v>2</v>
      </c>
      <c r="H23" s="14" t="n">
        <f aca="false">IFERROR(INDEX('Visão Geral'!$C$12:$C$16,MATCH(C23,'Visão Geral'!$A$12:$A$16,0)),"A definir")</f>
        <v>46317</v>
      </c>
      <c r="I23" s="14" t="n">
        <f aca="false">IFERROR(INDEX('Visão Geral'!$D$12:$D$16,MATCH(C23,'Visão Geral'!$A$12:$A$16,0)),"A definir")</f>
        <v>46323</v>
      </c>
      <c r="J23" s="4" t="s">
        <v>69</v>
      </c>
      <c r="K23" s="8" t="n">
        <f aca="false">G23*'Visão Geral'!$B$9</f>
        <v>70</v>
      </c>
    </row>
    <row r="24" customFormat="false" ht="28.35" hidden="false" customHeight="false" outlineLevel="0" collapsed="false">
      <c r="A24" s="4" t="s">
        <v>213</v>
      </c>
      <c r="B24" s="4" t="s">
        <v>81</v>
      </c>
      <c r="C24" s="4" t="n">
        <v>1</v>
      </c>
      <c r="D24" s="4" t="s">
        <v>214</v>
      </c>
      <c r="E24" s="4" t="s">
        <v>215</v>
      </c>
      <c r="F24" s="4" t="s">
        <v>9</v>
      </c>
      <c r="G24" s="4" t="n">
        <v>6</v>
      </c>
      <c r="H24" s="14" t="n">
        <f aca="false">IFERROR(INDEX('Visão Geral'!$C$12:$C$16,MATCH(C24,'Visão Geral'!$A$12:$A$16,0)),"A definir")</f>
        <v>46317</v>
      </c>
      <c r="I24" s="14" t="n">
        <f aca="false">IFERROR(INDEX('Visão Geral'!$D$12:$D$16,MATCH(C24,'Visão Geral'!$A$12:$A$16,0)),"A definir")</f>
        <v>46323</v>
      </c>
      <c r="J24" s="4" t="s">
        <v>69</v>
      </c>
      <c r="K24" s="8" t="n">
        <f aca="false">G24*'Visão Geral'!$B$9</f>
        <v>210</v>
      </c>
    </row>
    <row r="25" customFormat="false" ht="15" hidden="false" customHeight="false" outlineLevel="0" collapsed="false">
      <c r="A25" s="4" t="s">
        <v>216</v>
      </c>
      <c r="B25" s="4" t="s">
        <v>81</v>
      </c>
      <c r="C25" s="4" t="n">
        <v>1</v>
      </c>
      <c r="D25" s="4" t="s">
        <v>217</v>
      </c>
      <c r="E25" s="4" t="s">
        <v>218</v>
      </c>
      <c r="F25" s="4" t="s">
        <v>9</v>
      </c>
      <c r="G25" s="4" t="n">
        <v>5</v>
      </c>
      <c r="H25" s="14" t="n">
        <f aca="false">IFERROR(INDEX('Visão Geral'!$C$12:$C$16,MATCH(C25,'Visão Geral'!$A$12:$A$16,0)),"A definir")</f>
        <v>46317</v>
      </c>
      <c r="I25" s="14" t="n">
        <f aca="false">IFERROR(INDEX('Visão Geral'!$D$12:$D$16,MATCH(C25,'Visão Geral'!$A$12:$A$16,0)),"A definir")</f>
        <v>46323</v>
      </c>
      <c r="J25" s="4" t="s">
        <v>69</v>
      </c>
      <c r="K25" s="8" t="n">
        <f aca="false">G25*'Visão Geral'!$B$9</f>
        <v>175</v>
      </c>
    </row>
    <row r="26" customFormat="false" ht="15" hidden="false" customHeight="false" outlineLevel="0" collapsed="false">
      <c r="A26" s="4" t="s">
        <v>219</v>
      </c>
      <c r="B26" s="4" t="s">
        <v>81</v>
      </c>
      <c r="C26" s="4" t="n">
        <v>1</v>
      </c>
      <c r="D26" s="4" t="s">
        <v>220</v>
      </c>
      <c r="E26" s="4" t="s">
        <v>221</v>
      </c>
      <c r="F26" s="4" t="s">
        <v>9</v>
      </c>
      <c r="G26" s="4" t="n">
        <v>4</v>
      </c>
      <c r="H26" s="14" t="n">
        <f aca="false">IFERROR(INDEX('Visão Geral'!$C$12:$C$16,MATCH(C26,'Visão Geral'!$A$12:$A$16,0)),"A definir")</f>
        <v>46317</v>
      </c>
      <c r="I26" s="14" t="n">
        <f aca="false">IFERROR(INDEX('Visão Geral'!$D$12:$D$16,MATCH(C26,'Visão Geral'!$A$12:$A$16,0)),"A definir")</f>
        <v>46323</v>
      </c>
      <c r="J26" s="4" t="s">
        <v>69</v>
      </c>
      <c r="K26" s="8" t="n">
        <f aca="false">G26*'Visão Geral'!$B$9</f>
        <v>140</v>
      </c>
    </row>
    <row r="27" customFormat="false" ht="28.35" hidden="false" customHeight="false" outlineLevel="0" collapsed="false">
      <c r="A27" s="4" t="s">
        <v>222</v>
      </c>
      <c r="B27" s="4" t="s">
        <v>85</v>
      </c>
      <c r="C27" s="4" t="n">
        <v>1</v>
      </c>
      <c r="D27" s="4" t="s">
        <v>223</v>
      </c>
      <c r="E27" s="4" t="s">
        <v>224</v>
      </c>
      <c r="F27" s="4" t="s">
        <v>9</v>
      </c>
      <c r="G27" s="4" t="n">
        <v>6</v>
      </c>
      <c r="H27" s="14" t="n">
        <f aca="false">IFERROR(INDEX('Visão Geral'!$C$12:$C$16,MATCH(C27,'Visão Geral'!$A$12:$A$16,0)),"A definir")</f>
        <v>46317</v>
      </c>
      <c r="I27" s="14" t="n">
        <f aca="false">IFERROR(INDEX('Visão Geral'!$D$12:$D$16,MATCH(C27,'Visão Geral'!$A$12:$A$16,0)),"A definir")</f>
        <v>46323</v>
      </c>
      <c r="J27" s="4" t="s">
        <v>69</v>
      </c>
      <c r="K27" s="8" t="n">
        <f aca="false">G27*'Visão Geral'!$B$9</f>
        <v>210</v>
      </c>
    </row>
    <row r="28" customFormat="false" ht="15" hidden="false" customHeight="false" outlineLevel="0" collapsed="false">
      <c r="A28" s="4" t="s">
        <v>225</v>
      </c>
      <c r="B28" s="4" t="s">
        <v>85</v>
      </c>
      <c r="C28" s="4" t="n">
        <v>1</v>
      </c>
      <c r="D28" s="4" t="s">
        <v>226</v>
      </c>
      <c r="E28" s="4" t="s">
        <v>227</v>
      </c>
      <c r="F28" s="4" t="s">
        <v>9</v>
      </c>
      <c r="G28" s="4" t="n">
        <v>5</v>
      </c>
      <c r="H28" s="14" t="n">
        <f aca="false">IFERROR(INDEX('Visão Geral'!$C$12:$C$16,MATCH(C28,'Visão Geral'!$A$12:$A$16,0)),"A definir")</f>
        <v>46317</v>
      </c>
      <c r="I28" s="14" t="n">
        <f aca="false">IFERROR(INDEX('Visão Geral'!$D$12:$D$16,MATCH(C28,'Visão Geral'!$A$12:$A$16,0)),"A definir")</f>
        <v>46323</v>
      </c>
      <c r="J28" s="4" t="s">
        <v>69</v>
      </c>
      <c r="K28" s="8" t="n">
        <f aca="false">G28*'Visão Geral'!$B$9</f>
        <v>175</v>
      </c>
    </row>
    <row r="29" customFormat="false" ht="15" hidden="false" customHeight="false" outlineLevel="0" collapsed="false">
      <c r="A29" s="4" t="s">
        <v>228</v>
      </c>
      <c r="B29" s="4" t="s">
        <v>85</v>
      </c>
      <c r="C29" s="4" t="n">
        <v>1</v>
      </c>
      <c r="D29" s="4" t="s">
        <v>229</v>
      </c>
      <c r="E29" s="4" t="s">
        <v>221</v>
      </c>
      <c r="F29" s="4" t="s">
        <v>9</v>
      </c>
      <c r="G29" s="4" t="n">
        <v>4</v>
      </c>
      <c r="H29" s="14" t="n">
        <f aca="false">IFERROR(INDEX('Visão Geral'!$C$12:$C$16,MATCH(C29,'Visão Geral'!$A$12:$A$16,0)),"A definir")</f>
        <v>46317</v>
      </c>
      <c r="I29" s="14" t="n">
        <f aca="false">IFERROR(INDEX('Visão Geral'!$D$12:$D$16,MATCH(C29,'Visão Geral'!$A$12:$A$16,0)),"A definir")</f>
        <v>46323</v>
      </c>
      <c r="J29" s="4" t="s">
        <v>69</v>
      </c>
      <c r="K29" s="8" t="n">
        <f aca="false">G29*'Visão Geral'!$B$9</f>
        <v>140</v>
      </c>
    </row>
    <row r="30" customFormat="false" ht="28.35" hidden="false" customHeight="false" outlineLevel="0" collapsed="false">
      <c r="A30" s="4" t="s">
        <v>230</v>
      </c>
      <c r="B30" s="4" t="s">
        <v>88</v>
      </c>
      <c r="C30" s="4" t="n">
        <v>2</v>
      </c>
      <c r="D30" s="4" t="s">
        <v>231</v>
      </c>
      <c r="E30" s="4" t="s">
        <v>232</v>
      </c>
      <c r="F30" s="4" t="s">
        <v>68</v>
      </c>
      <c r="G30" s="4" t="n">
        <v>6</v>
      </c>
      <c r="H30" s="14" t="n">
        <f aca="false">IFERROR(INDEX('Visão Geral'!$C$12:$C$16,MATCH(C30,'Visão Geral'!$A$12:$A$16,0)),"A definir")</f>
        <v>46324</v>
      </c>
      <c r="I30" s="14" t="n">
        <f aca="false">IFERROR(INDEX('Visão Geral'!$D$12:$D$16,MATCH(C30,'Visão Geral'!$A$12:$A$16,0)),"A definir")</f>
        <v>46330</v>
      </c>
      <c r="J30" s="4" t="s">
        <v>92</v>
      </c>
      <c r="K30" s="8" t="n">
        <f aca="false">G30*'Visão Geral'!$B$9</f>
        <v>210</v>
      </c>
    </row>
    <row r="31" customFormat="false" ht="28.35" hidden="false" customHeight="false" outlineLevel="0" collapsed="false">
      <c r="A31" s="4" t="s">
        <v>233</v>
      </c>
      <c r="B31" s="4" t="s">
        <v>88</v>
      </c>
      <c r="C31" s="4" t="n">
        <v>2</v>
      </c>
      <c r="D31" s="4" t="s">
        <v>234</v>
      </c>
      <c r="E31" s="4" t="s">
        <v>235</v>
      </c>
      <c r="F31" s="4" t="s">
        <v>68</v>
      </c>
      <c r="G31" s="4" t="n">
        <v>10</v>
      </c>
      <c r="H31" s="14" t="n">
        <f aca="false">IFERROR(INDEX('Visão Geral'!$C$12:$C$16,MATCH(C31,'Visão Geral'!$A$12:$A$16,0)),"A definir")</f>
        <v>46324</v>
      </c>
      <c r="I31" s="14" t="n">
        <f aca="false">IFERROR(INDEX('Visão Geral'!$D$12:$D$16,MATCH(C31,'Visão Geral'!$A$12:$A$16,0)),"A definir")</f>
        <v>46330</v>
      </c>
      <c r="J31" s="4" t="s">
        <v>92</v>
      </c>
      <c r="K31" s="8" t="n">
        <f aca="false">G31*'Visão Geral'!$B$9</f>
        <v>350</v>
      </c>
    </row>
    <row r="32" customFormat="false" ht="28.35" hidden="false" customHeight="false" outlineLevel="0" collapsed="false">
      <c r="A32" s="4" t="s">
        <v>236</v>
      </c>
      <c r="B32" s="4" t="s">
        <v>88</v>
      </c>
      <c r="C32" s="4" t="n">
        <v>2</v>
      </c>
      <c r="D32" s="4" t="s">
        <v>237</v>
      </c>
      <c r="E32" s="4" t="s">
        <v>238</v>
      </c>
      <c r="F32" s="4" t="s">
        <v>68</v>
      </c>
      <c r="G32" s="4" t="n">
        <v>8</v>
      </c>
      <c r="H32" s="14" t="n">
        <f aca="false">IFERROR(INDEX('Visão Geral'!$C$12:$C$16,MATCH(C32,'Visão Geral'!$A$12:$A$16,0)),"A definir")</f>
        <v>46324</v>
      </c>
      <c r="I32" s="14" t="n">
        <f aca="false">IFERROR(INDEX('Visão Geral'!$D$12:$D$16,MATCH(C32,'Visão Geral'!$A$12:$A$16,0)),"A definir")</f>
        <v>46330</v>
      </c>
      <c r="J32" s="4" t="s">
        <v>92</v>
      </c>
      <c r="K32" s="8" t="n">
        <f aca="false">G32*'Visão Geral'!$B$9</f>
        <v>280</v>
      </c>
    </row>
    <row r="33" customFormat="false" ht="28.35" hidden="false" customHeight="false" outlineLevel="0" collapsed="false">
      <c r="A33" s="4" t="s">
        <v>239</v>
      </c>
      <c r="B33" s="4" t="s">
        <v>93</v>
      </c>
      <c r="C33" s="4" t="n">
        <v>2</v>
      </c>
      <c r="D33" s="4" t="s">
        <v>240</v>
      </c>
      <c r="E33" s="4" t="s">
        <v>241</v>
      </c>
      <c r="F33" s="4" t="s">
        <v>6</v>
      </c>
      <c r="G33" s="4" t="n">
        <v>8</v>
      </c>
      <c r="H33" s="14" t="n">
        <f aca="false">IFERROR(INDEX('Visão Geral'!$C$12:$C$16,MATCH(C33,'Visão Geral'!$A$12:$A$16,0)),"A definir")</f>
        <v>46324</v>
      </c>
      <c r="I33" s="14" t="n">
        <f aca="false">IFERROR(INDEX('Visão Geral'!$D$12:$D$16,MATCH(C33,'Visão Geral'!$A$12:$A$16,0)),"A definir")</f>
        <v>46330</v>
      </c>
      <c r="J33" s="4" t="s">
        <v>92</v>
      </c>
      <c r="K33" s="8" t="n">
        <f aca="false">G33*'Visão Geral'!$B$9</f>
        <v>280</v>
      </c>
    </row>
    <row r="34" customFormat="false" ht="15" hidden="false" customHeight="false" outlineLevel="0" collapsed="false">
      <c r="A34" s="4" t="s">
        <v>242</v>
      </c>
      <c r="B34" s="4" t="s">
        <v>93</v>
      </c>
      <c r="C34" s="4" t="n">
        <v>2</v>
      </c>
      <c r="D34" s="4" t="s">
        <v>243</v>
      </c>
      <c r="E34" s="4" t="s">
        <v>244</v>
      </c>
      <c r="F34" s="4" t="s">
        <v>6</v>
      </c>
      <c r="G34" s="4" t="n">
        <v>4</v>
      </c>
      <c r="H34" s="14" t="n">
        <f aca="false">IFERROR(INDEX('Visão Geral'!$C$12:$C$16,MATCH(C34,'Visão Geral'!$A$12:$A$16,0)),"A definir")</f>
        <v>46324</v>
      </c>
      <c r="I34" s="14" t="n">
        <f aca="false">IFERROR(INDEX('Visão Geral'!$D$12:$D$16,MATCH(C34,'Visão Geral'!$A$12:$A$16,0)),"A definir")</f>
        <v>46330</v>
      </c>
      <c r="J34" s="4" t="s">
        <v>92</v>
      </c>
      <c r="K34" s="8" t="n">
        <f aca="false">G34*'Visão Geral'!$B$9</f>
        <v>140</v>
      </c>
    </row>
    <row r="35" customFormat="false" ht="15" hidden="false" customHeight="false" outlineLevel="0" collapsed="false">
      <c r="A35" s="4" t="s">
        <v>245</v>
      </c>
      <c r="B35" s="4" t="s">
        <v>93</v>
      </c>
      <c r="C35" s="4" t="n">
        <v>2</v>
      </c>
      <c r="D35" s="4" t="s">
        <v>246</v>
      </c>
      <c r="E35" s="4" t="s">
        <v>247</v>
      </c>
      <c r="F35" s="4" t="s">
        <v>6</v>
      </c>
      <c r="G35" s="4" t="n">
        <v>3</v>
      </c>
      <c r="H35" s="14" t="n">
        <f aca="false">IFERROR(INDEX('Visão Geral'!$C$12:$C$16,MATCH(C35,'Visão Geral'!$A$12:$A$16,0)),"A definir")</f>
        <v>46324</v>
      </c>
      <c r="I35" s="14" t="n">
        <f aca="false">IFERROR(INDEX('Visão Geral'!$D$12:$D$16,MATCH(C35,'Visão Geral'!$A$12:$A$16,0)),"A definir")</f>
        <v>46330</v>
      </c>
      <c r="J35" s="4" t="s">
        <v>92</v>
      </c>
      <c r="K35" s="8" t="n">
        <f aca="false">G35*'Visão Geral'!$B$9</f>
        <v>105</v>
      </c>
    </row>
    <row r="36" customFormat="false" ht="28.35" hidden="false" customHeight="false" outlineLevel="0" collapsed="false">
      <c r="A36" s="4" t="s">
        <v>248</v>
      </c>
      <c r="B36" s="4" t="s">
        <v>96</v>
      </c>
      <c r="C36" s="4" t="n">
        <v>2</v>
      </c>
      <c r="D36" s="4" t="s">
        <v>249</v>
      </c>
      <c r="E36" s="4" t="s">
        <v>250</v>
      </c>
      <c r="F36" s="4" t="s">
        <v>9</v>
      </c>
      <c r="G36" s="4" t="n">
        <v>5</v>
      </c>
      <c r="H36" s="14" t="n">
        <f aca="false">IFERROR(INDEX('Visão Geral'!$C$12:$C$16,MATCH(C36,'Visão Geral'!$A$12:$A$16,0)),"A definir")</f>
        <v>46324</v>
      </c>
      <c r="I36" s="14" t="n">
        <f aca="false">IFERROR(INDEX('Visão Geral'!$D$12:$D$16,MATCH(C36,'Visão Geral'!$A$12:$A$16,0)),"A definir")</f>
        <v>46330</v>
      </c>
      <c r="J36" s="4" t="s">
        <v>92</v>
      </c>
      <c r="K36" s="8" t="n">
        <f aca="false">G36*'Visão Geral'!$B$9</f>
        <v>175</v>
      </c>
    </row>
    <row r="37" customFormat="false" ht="15" hidden="false" customHeight="false" outlineLevel="0" collapsed="false">
      <c r="A37" s="4" t="s">
        <v>251</v>
      </c>
      <c r="B37" s="4" t="s">
        <v>96</v>
      </c>
      <c r="C37" s="4" t="n">
        <v>2</v>
      </c>
      <c r="D37" s="4" t="s">
        <v>252</v>
      </c>
      <c r="E37" s="4" t="s">
        <v>253</v>
      </c>
      <c r="F37" s="4" t="s">
        <v>9</v>
      </c>
      <c r="G37" s="4" t="n">
        <v>2</v>
      </c>
      <c r="H37" s="14" t="n">
        <f aca="false">IFERROR(INDEX('Visão Geral'!$C$12:$C$16,MATCH(C37,'Visão Geral'!$A$12:$A$16,0)),"A definir")</f>
        <v>46324</v>
      </c>
      <c r="I37" s="14" t="n">
        <f aca="false">IFERROR(INDEX('Visão Geral'!$D$12:$D$16,MATCH(C37,'Visão Geral'!$A$12:$A$16,0)),"A definir")</f>
        <v>46330</v>
      </c>
      <c r="J37" s="4" t="s">
        <v>92</v>
      </c>
      <c r="K37" s="8" t="n">
        <f aca="false">G37*'Visão Geral'!$B$9</f>
        <v>70</v>
      </c>
    </row>
    <row r="38" customFormat="false" ht="15" hidden="false" customHeight="false" outlineLevel="0" collapsed="false">
      <c r="A38" s="4" t="s">
        <v>254</v>
      </c>
      <c r="B38" s="4" t="s">
        <v>96</v>
      </c>
      <c r="C38" s="4" t="n">
        <v>2</v>
      </c>
      <c r="D38" s="4" t="s">
        <v>255</v>
      </c>
      <c r="E38" s="4" t="s">
        <v>247</v>
      </c>
      <c r="F38" s="4" t="s">
        <v>9</v>
      </c>
      <c r="G38" s="4" t="n">
        <v>2</v>
      </c>
      <c r="H38" s="14" t="n">
        <f aca="false">IFERROR(INDEX('Visão Geral'!$C$12:$C$16,MATCH(C38,'Visão Geral'!$A$12:$A$16,0)),"A definir")</f>
        <v>46324</v>
      </c>
      <c r="I38" s="14" t="n">
        <f aca="false">IFERROR(INDEX('Visão Geral'!$D$12:$D$16,MATCH(C38,'Visão Geral'!$A$12:$A$16,0)),"A definir")</f>
        <v>46330</v>
      </c>
      <c r="J38" s="4" t="s">
        <v>92</v>
      </c>
      <c r="K38" s="8" t="n">
        <f aca="false">G38*'Visão Geral'!$B$9</f>
        <v>70</v>
      </c>
    </row>
    <row r="39" customFormat="false" ht="15" hidden="false" customHeight="false" outlineLevel="0" collapsed="false">
      <c r="A39" s="4" t="s">
        <v>256</v>
      </c>
      <c r="B39" s="4" t="s">
        <v>99</v>
      </c>
      <c r="C39" s="4" t="n">
        <v>2</v>
      </c>
      <c r="D39" s="4" t="s">
        <v>257</v>
      </c>
      <c r="E39" s="4" t="s">
        <v>258</v>
      </c>
      <c r="F39" s="4" t="s">
        <v>9</v>
      </c>
      <c r="G39" s="4" t="n">
        <v>7</v>
      </c>
      <c r="H39" s="14" t="n">
        <f aca="false">IFERROR(INDEX('Visão Geral'!$C$12:$C$16,MATCH(C39,'Visão Geral'!$A$12:$A$16,0)),"A definir")</f>
        <v>46324</v>
      </c>
      <c r="I39" s="14" t="n">
        <f aca="false">IFERROR(INDEX('Visão Geral'!$D$12:$D$16,MATCH(C39,'Visão Geral'!$A$12:$A$16,0)),"A definir")</f>
        <v>46330</v>
      </c>
      <c r="J39" s="4" t="s">
        <v>92</v>
      </c>
      <c r="K39" s="8" t="n">
        <f aca="false">G39*'Visão Geral'!$B$9</f>
        <v>245</v>
      </c>
    </row>
    <row r="40" customFormat="false" ht="28.35" hidden="false" customHeight="false" outlineLevel="0" collapsed="false">
      <c r="A40" s="4" t="s">
        <v>259</v>
      </c>
      <c r="B40" s="4" t="s">
        <v>99</v>
      </c>
      <c r="C40" s="4" t="n">
        <v>2</v>
      </c>
      <c r="D40" s="4" t="s">
        <v>260</v>
      </c>
      <c r="E40" s="4" t="s">
        <v>261</v>
      </c>
      <c r="F40" s="4" t="s">
        <v>9</v>
      </c>
      <c r="G40" s="4" t="n">
        <v>5</v>
      </c>
      <c r="H40" s="14" t="n">
        <f aca="false">IFERROR(INDEX('Visão Geral'!$C$12:$C$16,MATCH(C40,'Visão Geral'!$A$12:$A$16,0)),"A definir")</f>
        <v>46324</v>
      </c>
      <c r="I40" s="14" t="n">
        <f aca="false">IFERROR(INDEX('Visão Geral'!$D$12:$D$16,MATCH(C40,'Visão Geral'!$A$12:$A$16,0)),"A definir")</f>
        <v>46330</v>
      </c>
      <c r="J40" s="4" t="s">
        <v>92</v>
      </c>
      <c r="K40" s="8" t="n">
        <f aca="false">G40*'Visão Geral'!$B$9</f>
        <v>175</v>
      </c>
    </row>
    <row r="41" customFormat="false" ht="15" hidden="false" customHeight="false" outlineLevel="0" collapsed="false">
      <c r="A41" s="4" t="s">
        <v>262</v>
      </c>
      <c r="B41" s="4" t="s">
        <v>99</v>
      </c>
      <c r="C41" s="4" t="n">
        <v>2</v>
      </c>
      <c r="D41" s="4" t="s">
        <v>263</v>
      </c>
      <c r="E41" s="4" t="s">
        <v>264</v>
      </c>
      <c r="F41" s="4" t="s">
        <v>9</v>
      </c>
      <c r="G41" s="4" t="n">
        <v>3</v>
      </c>
      <c r="H41" s="14" t="n">
        <f aca="false">IFERROR(INDEX('Visão Geral'!$C$12:$C$16,MATCH(C41,'Visão Geral'!$A$12:$A$16,0)),"A definir")</f>
        <v>46324</v>
      </c>
      <c r="I41" s="14" t="n">
        <f aca="false">IFERROR(INDEX('Visão Geral'!$D$12:$D$16,MATCH(C41,'Visão Geral'!$A$12:$A$16,0)),"A definir")</f>
        <v>46330</v>
      </c>
      <c r="J41" s="4" t="s">
        <v>92</v>
      </c>
      <c r="K41" s="8" t="n">
        <f aca="false">G41*'Visão Geral'!$B$9</f>
        <v>105</v>
      </c>
    </row>
    <row r="42" customFormat="false" ht="28.35" hidden="false" customHeight="false" outlineLevel="0" collapsed="false">
      <c r="A42" s="4" t="s">
        <v>265</v>
      </c>
      <c r="B42" s="4" t="s">
        <v>102</v>
      </c>
      <c r="C42" s="4" t="n">
        <v>2</v>
      </c>
      <c r="D42" s="4" t="s">
        <v>266</v>
      </c>
      <c r="E42" s="4" t="s">
        <v>267</v>
      </c>
      <c r="F42" s="4" t="s">
        <v>6</v>
      </c>
      <c r="G42" s="4" t="n">
        <v>7</v>
      </c>
      <c r="H42" s="14" t="n">
        <f aca="false">IFERROR(INDEX('Visão Geral'!$C$12:$C$16,MATCH(C42,'Visão Geral'!$A$12:$A$16,0)),"A definir")</f>
        <v>46324</v>
      </c>
      <c r="I42" s="14" t="n">
        <f aca="false">IFERROR(INDEX('Visão Geral'!$D$12:$D$16,MATCH(C42,'Visão Geral'!$A$12:$A$16,0)),"A definir")</f>
        <v>46330</v>
      </c>
      <c r="J42" s="4" t="s">
        <v>92</v>
      </c>
      <c r="K42" s="8" t="n">
        <f aca="false">G42*'Visão Geral'!$B$9</f>
        <v>245</v>
      </c>
    </row>
    <row r="43" customFormat="false" ht="15" hidden="false" customHeight="false" outlineLevel="0" collapsed="false">
      <c r="A43" s="4" t="s">
        <v>268</v>
      </c>
      <c r="B43" s="4" t="s">
        <v>102</v>
      </c>
      <c r="C43" s="4" t="n">
        <v>2</v>
      </c>
      <c r="D43" s="4" t="s">
        <v>269</v>
      </c>
      <c r="E43" s="4" t="s">
        <v>270</v>
      </c>
      <c r="F43" s="4" t="s">
        <v>6</v>
      </c>
      <c r="G43" s="4" t="n">
        <v>4</v>
      </c>
      <c r="H43" s="14" t="n">
        <f aca="false">IFERROR(INDEX('Visão Geral'!$C$12:$C$16,MATCH(C43,'Visão Geral'!$A$12:$A$16,0)),"A definir")</f>
        <v>46324</v>
      </c>
      <c r="I43" s="14" t="n">
        <f aca="false">IFERROR(INDEX('Visão Geral'!$D$12:$D$16,MATCH(C43,'Visão Geral'!$A$12:$A$16,0)),"A definir")</f>
        <v>46330</v>
      </c>
      <c r="J43" s="4" t="s">
        <v>92</v>
      </c>
      <c r="K43" s="8" t="n">
        <f aca="false">G43*'Visão Geral'!$B$9</f>
        <v>140</v>
      </c>
    </row>
    <row r="44" customFormat="false" ht="15" hidden="false" customHeight="false" outlineLevel="0" collapsed="false">
      <c r="A44" s="4" t="s">
        <v>271</v>
      </c>
      <c r="B44" s="4" t="s">
        <v>102</v>
      </c>
      <c r="C44" s="4" t="n">
        <v>2</v>
      </c>
      <c r="D44" s="4" t="s">
        <v>272</v>
      </c>
      <c r="E44" s="4" t="s">
        <v>273</v>
      </c>
      <c r="F44" s="4" t="s">
        <v>6</v>
      </c>
      <c r="G44" s="4" t="n">
        <v>4</v>
      </c>
      <c r="H44" s="14" t="n">
        <f aca="false">IFERROR(INDEX('Visão Geral'!$C$12:$C$16,MATCH(C44,'Visão Geral'!$A$12:$A$16,0)),"A definir")</f>
        <v>46324</v>
      </c>
      <c r="I44" s="14" t="n">
        <f aca="false">IFERROR(INDEX('Visão Geral'!$D$12:$D$16,MATCH(C44,'Visão Geral'!$A$12:$A$16,0)),"A definir")</f>
        <v>46330</v>
      </c>
      <c r="J44" s="4" t="s">
        <v>92</v>
      </c>
      <c r="K44" s="8" t="n">
        <f aca="false">G44*'Visão Geral'!$B$9</f>
        <v>140</v>
      </c>
    </row>
    <row r="45" customFormat="false" ht="15" hidden="false" customHeight="false" outlineLevel="0" collapsed="false">
      <c r="A45" s="4" t="s">
        <v>274</v>
      </c>
      <c r="B45" s="4" t="s">
        <v>106</v>
      </c>
      <c r="C45" s="4" t="n">
        <v>3</v>
      </c>
      <c r="D45" s="4" t="s">
        <v>275</v>
      </c>
      <c r="E45" s="4" t="s">
        <v>276</v>
      </c>
      <c r="F45" s="4" t="s">
        <v>68</v>
      </c>
      <c r="G45" s="4" t="n">
        <v>9</v>
      </c>
      <c r="H45" s="14" t="n">
        <f aca="false">IFERROR(INDEX('Visão Geral'!$C$12:$C$16,MATCH(C45,'Visão Geral'!$A$12:$A$16,0)),"A definir")</f>
        <v>46331</v>
      </c>
      <c r="I45" s="14" t="n">
        <f aca="false">IFERROR(INDEX('Visão Geral'!$D$12:$D$16,MATCH(C45,'Visão Geral'!$A$12:$A$16,0)),"A definir")</f>
        <v>46337</v>
      </c>
      <c r="J45" s="4" t="s">
        <v>92</v>
      </c>
      <c r="K45" s="8" t="n">
        <f aca="false">G45*'Visão Geral'!$B$9</f>
        <v>315</v>
      </c>
    </row>
    <row r="46" customFormat="false" ht="15" hidden="false" customHeight="false" outlineLevel="0" collapsed="false">
      <c r="A46" s="4" t="s">
        <v>277</v>
      </c>
      <c r="B46" s="4" t="s">
        <v>106</v>
      </c>
      <c r="C46" s="4" t="n">
        <v>3</v>
      </c>
      <c r="D46" s="4" t="s">
        <v>278</v>
      </c>
      <c r="E46" s="4" t="s">
        <v>279</v>
      </c>
      <c r="F46" s="4" t="s">
        <v>68</v>
      </c>
      <c r="G46" s="4" t="n">
        <v>8</v>
      </c>
      <c r="H46" s="14" t="n">
        <f aca="false">IFERROR(INDEX('Visão Geral'!$C$12:$C$16,MATCH(C46,'Visão Geral'!$A$12:$A$16,0)),"A definir")</f>
        <v>46331</v>
      </c>
      <c r="I46" s="14" t="n">
        <f aca="false">IFERROR(INDEX('Visão Geral'!$D$12:$D$16,MATCH(C46,'Visão Geral'!$A$12:$A$16,0)),"A definir")</f>
        <v>46337</v>
      </c>
      <c r="J46" s="4" t="s">
        <v>92</v>
      </c>
      <c r="K46" s="8" t="n">
        <f aca="false">G46*'Visão Geral'!$B$9</f>
        <v>280</v>
      </c>
    </row>
    <row r="47" customFormat="false" ht="28.35" hidden="false" customHeight="false" outlineLevel="0" collapsed="false">
      <c r="A47" s="4" t="s">
        <v>280</v>
      </c>
      <c r="B47" s="4" t="s">
        <v>106</v>
      </c>
      <c r="C47" s="4" t="n">
        <v>3</v>
      </c>
      <c r="D47" s="4" t="s">
        <v>281</v>
      </c>
      <c r="E47" s="4" t="s">
        <v>282</v>
      </c>
      <c r="F47" s="4" t="s">
        <v>68</v>
      </c>
      <c r="G47" s="4" t="n">
        <v>7</v>
      </c>
      <c r="H47" s="14" t="n">
        <f aca="false">IFERROR(INDEX('Visão Geral'!$C$12:$C$16,MATCH(C47,'Visão Geral'!$A$12:$A$16,0)),"A definir")</f>
        <v>46331</v>
      </c>
      <c r="I47" s="14" t="n">
        <f aca="false">IFERROR(INDEX('Visão Geral'!$D$12:$D$16,MATCH(C47,'Visão Geral'!$A$12:$A$16,0)),"A definir")</f>
        <v>46337</v>
      </c>
      <c r="J47" s="4" t="s">
        <v>92</v>
      </c>
      <c r="K47" s="8" t="n">
        <f aca="false">G47*'Visão Geral'!$B$9</f>
        <v>245</v>
      </c>
    </row>
    <row r="48" customFormat="false" ht="28.35" hidden="false" customHeight="false" outlineLevel="0" collapsed="false">
      <c r="A48" s="4" t="s">
        <v>283</v>
      </c>
      <c r="B48" s="4" t="s">
        <v>109</v>
      </c>
      <c r="C48" s="4" t="n">
        <v>3</v>
      </c>
      <c r="D48" s="4" t="s">
        <v>284</v>
      </c>
      <c r="E48" s="4" t="s">
        <v>285</v>
      </c>
      <c r="F48" s="4" t="s">
        <v>9</v>
      </c>
      <c r="G48" s="4" t="n">
        <v>6</v>
      </c>
      <c r="H48" s="14" t="n">
        <f aca="false">IFERROR(INDEX('Visão Geral'!$C$12:$C$16,MATCH(C48,'Visão Geral'!$A$12:$A$16,0)),"A definir")</f>
        <v>46331</v>
      </c>
      <c r="I48" s="14" t="n">
        <f aca="false">IFERROR(INDEX('Visão Geral'!$D$12:$D$16,MATCH(C48,'Visão Geral'!$A$12:$A$16,0)),"A definir")</f>
        <v>46337</v>
      </c>
      <c r="J48" s="4" t="s">
        <v>92</v>
      </c>
      <c r="K48" s="8" t="n">
        <f aca="false">G48*'Visão Geral'!$B$9</f>
        <v>210</v>
      </c>
    </row>
    <row r="49" customFormat="false" ht="15" hidden="false" customHeight="false" outlineLevel="0" collapsed="false">
      <c r="A49" s="4" t="s">
        <v>286</v>
      </c>
      <c r="B49" s="4" t="s">
        <v>109</v>
      </c>
      <c r="C49" s="4" t="n">
        <v>3</v>
      </c>
      <c r="D49" s="4" t="s">
        <v>287</v>
      </c>
      <c r="E49" s="4" t="s">
        <v>288</v>
      </c>
      <c r="F49" s="4" t="s">
        <v>9</v>
      </c>
      <c r="G49" s="4" t="n">
        <v>6</v>
      </c>
      <c r="H49" s="14" t="n">
        <f aca="false">IFERROR(INDEX('Visão Geral'!$C$12:$C$16,MATCH(C49,'Visão Geral'!$A$12:$A$16,0)),"A definir")</f>
        <v>46331</v>
      </c>
      <c r="I49" s="14" t="n">
        <f aca="false">IFERROR(INDEX('Visão Geral'!$D$12:$D$16,MATCH(C49,'Visão Geral'!$A$12:$A$16,0)),"A definir")</f>
        <v>46337</v>
      </c>
      <c r="J49" s="4" t="s">
        <v>92</v>
      </c>
      <c r="K49" s="8" t="n">
        <f aca="false">G49*'Visão Geral'!$B$9</f>
        <v>210</v>
      </c>
    </row>
    <row r="50" customFormat="false" ht="15" hidden="false" customHeight="false" outlineLevel="0" collapsed="false">
      <c r="A50" s="4" t="s">
        <v>289</v>
      </c>
      <c r="B50" s="4" t="s">
        <v>109</v>
      </c>
      <c r="C50" s="4" t="n">
        <v>3</v>
      </c>
      <c r="D50" s="4" t="s">
        <v>290</v>
      </c>
      <c r="E50" s="4" t="s">
        <v>221</v>
      </c>
      <c r="F50" s="4" t="s">
        <v>9</v>
      </c>
      <c r="G50" s="4" t="n">
        <v>3</v>
      </c>
      <c r="H50" s="14" t="n">
        <f aca="false">IFERROR(INDEX('Visão Geral'!$C$12:$C$16,MATCH(C50,'Visão Geral'!$A$12:$A$16,0)),"A definir")</f>
        <v>46331</v>
      </c>
      <c r="I50" s="14" t="n">
        <f aca="false">IFERROR(INDEX('Visão Geral'!$D$12:$D$16,MATCH(C50,'Visão Geral'!$A$12:$A$16,0)),"A definir")</f>
        <v>46337</v>
      </c>
      <c r="J50" s="4" t="s">
        <v>92</v>
      </c>
      <c r="K50" s="8" t="n">
        <f aca="false">G50*'Visão Geral'!$B$9</f>
        <v>105</v>
      </c>
    </row>
    <row r="51" customFormat="false" ht="28.35" hidden="false" customHeight="false" outlineLevel="0" collapsed="false">
      <c r="A51" s="4" t="s">
        <v>291</v>
      </c>
      <c r="B51" s="4" t="s">
        <v>112</v>
      </c>
      <c r="C51" s="4" t="n">
        <v>3</v>
      </c>
      <c r="D51" s="4" t="s">
        <v>292</v>
      </c>
      <c r="E51" s="4" t="s">
        <v>293</v>
      </c>
      <c r="F51" s="4" t="s">
        <v>6</v>
      </c>
      <c r="G51" s="4" t="n">
        <v>5</v>
      </c>
      <c r="H51" s="14" t="n">
        <f aca="false">IFERROR(INDEX('Visão Geral'!$C$12:$C$16,MATCH(C51,'Visão Geral'!$A$12:$A$16,0)),"A definir")</f>
        <v>46331</v>
      </c>
      <c r="I51" s="14" t="n">
        <f aca="false">IFERROR(INDEX('Visão Geral'!$D$12:$D$16,MATCH(C51,'Visão Geral'!$A$12:$A$16,0)),"A definir")</f>
        <v>46337</v>
      </c>
      <c r="J51" s="4" t="s">
        <v>92</v>
      </c>
      <c r="K51" s="8" t="n">
        <f aca="false">G51*'Visão Geral'!$B$9</f>
        <v>175</v>
      </c>
    </row>
    <row r="52" customFormat="false" ht="15" hidden="false" customHeight="false" outlineLevel="0" collapsed="false">
      <c r="A52" s="4" t="s">
        <v>294</v>
      </c>
      <c r="B52" s="4" t="s">
        <v>112</v>
      </c>
      <c r="C52" s="4" t="n">
        <v>3</v>
      </c>
      <c r="D52" s="4" t="s">
        <v>295</v>
      </c>
      <c r="E52" s="4" t="s">
        <v>296</v>
      </c>
      <c r="F52" s="4" t="s">
        <v>6</v>
      </c>
      <c r="G52" s="4" t="n">
        <v>2</v>
      </c>
      <c r="H52" s="14" t="n">
        <f aca="false">IFERROR(INDEX('Visão Geral'!$C$12:$C$16,MATCH(C52,'Visão Geral'!$A$12:$A$16,0)),"A definir")</f>
        <v>46331</v>
      </c>
      <c r="I52" s="14" t="n">
        <f aca="false">IFERROR(INDEX('Visão Geral'!$D$12:$D$16,MATCH(C52,'Visão Geral'!$A$12:$A$16,0)),"A definir")</f>
        <v>46337</v>
      </c>
      <c r="J52" s="4" t="s">
        <v>92</v>
      </c>
      <c r="K52" s="8" t="n">
        <f aca="false">G52*'Visão Geral'!$B$9</f>
        <v>70</v>
      </c>
    </row>
    <row r="53" customFormat="false" ht="15" hidden="false" customHeight="false" outlineLevel="0" collapsed="false">
      <c r="A53" s="4" t="s">
        <v>297</v>
      </c>
      <c r="B53" s="4" t="s">
        <v>112</v>
      </c>
      <c r="C53" s="4" t="n">
        <v>3</v>
      </c>
      <c r="D53" s="4" t="s">
        <v>298</v>
      </c>
      <c r="E53" s="4" t="s">
        <v>247</v>
      </c>
      <c r="F53" s="4" t="s">
        <v>6</v>
      </c>
      <c r="G53" s="4" t="n">
        <v>2</v>
      </c>
      <c r="H53" s="14" t="n">
        <f aca="false">IFERROR(INDEX('Visão Geral'!$C$12:$C$16,MATCH(C53,'Visão Geral'!$A$12:$A$16,0)),"A definir")</f>
        <v>46331</v>
      </c>
      <c r="I53" s="14" t="n">
        <f aca="false">IFERROR(INDEX('Visão Geral'!$D$12:$D$16,MATCH(C53,'Visão Geral'!$A$12:$A$16,0)),"A definir")</f>
        <v>46337</v>
      </c>
      <c r="J53" s="4" t="s">
        <v>92</v>
      </c>
      <c r="K53" s="8" t="n">
        <f aca="false">G53*'Visão Geral'!$B$9</f>
        <v>70</v>
      </c>
    </row>
    <row r="54" customFormat="false" ht="28.35" hidden="false" customHeight="false" outlineLevel="0" collapsed="false">
      <c r="A54" s="4" t="s">
        <v>299</v>
      </c>
      <c r="B54" s="4" t="s">
        <v>115</v>
      </c>
      <c r="C54" s="4" t="n">
        <v>3</v>
      </c>
      <c r="D54" s="4" t="s">
        <v>300</v>
      </c>
      <c r="E54" s="4" t="s">
        <v>301</v>
      </c>
      <c r="F54" s="4" t="s">
        <v>9</v>
      </c>
      <c r="G54" s="4" t="n">
        <v>6</v>
      </c>
      <c r="H54" s="14" t="n">
        <f aca="false">IFERROR(INDEX('Visão Geral'!$C$12:$C$16,MATCH(C54,'Visão Geral'!$A$12:$A$16,0)),"A definir")</f>
        <v>46331</v>
      </c>
      <c r="I54" s="14" t="n">
        <f aca="false">IFERROR(INDEX('Visão Geral'!$D$12:$D$16,MATCH(C54,'Visão Geral'!$A$12:$A$16,0)),"A definir")</f>
        <v>46337</v>
      </c>
      <c r="J54" s="4" t="s">
        <v>92</v>
      </c>
      <c r="K54" s="8" t="n">
        <f aca="false">G54*'Visão Geral'!$B$9</f>
        <v>210</v>
      </c>
    </row>
    <row r="55" customFormat="false" ht="28.35" hidden="false" customHeight="false" outlineLevel="0" collapsed="false">
      <c r="A55" s="4" t="s">
        <v>302</v>
      </c>
      <c r="B55" s="4" t="s">
        <v>115</v>
      </c>
      <c r="C55" s="4" t="n">
        <v>3</v>
      </c>
      <c r="D55" s="4" t="s">
        <v>303</v>
      </c>
      <c r="E55" s="4" t="s">
        <v>304</v>
      </c>
      <c r="F55" s="4" t="s">
        <v>9</v>
      </c>
      <c r="G55" s="4" t="n">
        <v>5</v>
      </c>
      <c r="H55" s="14" t="n">
        <f aca="false">IFERROR(INDEX('Visão Geral'!$C$12:$C$16,MATCH(C55,'Visão Geral'!$A$12:$A$16,0)),"A definir")</f>
        <v>46331</v>
      </c>
      <c r="I55" s="14" t="n">
        <f aca="false">IFERROR(INDEX('Visão Geral'!$D$12:$D$16,MATCH(C55,'Visão Geral'!$A$12:$A$16,0)),"A definir")</f>
        <v>46337</v>
      </c>
      <c r="J55" s="4" t="s">
        <v>92</v>
      </c>
      <c r="K55" s="8" t="n">
        <f aca="false">G55*'Visão Geral'!$B$9</f>
        <v>175</v>
      </c>
    </row>
    <row r="56" customFormat="false" ht="28.35" hidden="false" customHeight="false" outlineLevel="0" collapsed="false">
      <c r="A56" s="4" t="s">
        <v>305</v>
      </c>
      <c r="B56" s="4" t="s">
        <v>115</v>
      </c>
      <c r="C56" s="4" t="n">
        <v>3</v>
      </c>
      <c r="D56" s="4" t="s">
        <v>306</v>
      </c>
      <c r="E56" s="4" t="s">
        <v>307</v>
      </c>
      <c r="F56" s="4" t="s">
        <v>9</v>
      </c>
      <c r="G56" s="4" t="n">
        <v>4</v>
      </c>
      <c r="H56" s="14" t="n">
        <f aca="false">IFERROR(INDEX('Visão Geral'!$C$12:$C$16,MATCH(C56,'Visão Geral'!$A$12:$A$16,0)),"A definir")</f>
        <v>46331</v>
      </c>
      <c r="I56" s="14" t="n">
        <f aca="false">IFERROR(INDEX('Visão Geral'!$D$12:$D$16,MATCH(C56,'Visão Geral'!$A$12:$A$16,0)),"A definir")</f>
        <v>46337</v>
      </c>
      <c r="J56" s="4" t="s">
        <v>92</v>
      </c>
      <c r="K56" s="8" t="n">
        <f aca="false">G56*'Visão Geral'!$B$9</f>
        <v>140</v>
      </c>
    </row>
    <row r="57" customFormat="false" ht="28.35" hidden="false" customHeight="false" outlineLevel="0" collapsed="false">
      <c r="A57" s="4" t="s">
        <v>308</v>
      </c>
      <c r="B57" s="4" t="s">
        <v>118</v>
      </c>
      <c r="C57" s="4" t="n">
        <v>3</v>
      </c>
      <c r="D57" s="4" t="s">
        <v>309</v>
      </c>
      <c r="E57" s="4" t="s">
        <v>310</v>
      </c>
      <c r="F57" s="4" t="s">
        <v>6</v>
      </c>
      <c r="G57" s="4" t="n">
        <v>6</v>
      </c>
      <c r="H57" s="14" t="n">
        <f aca="false">IFERROR(INDEX('Visão Geral'!$C$12:$C$16,MATCH(C57,'Visão Geral'!$A$12:$A$16,0)),"A definir")</f>
        <v>46331</v>
      </c>
      <c r="I57" s="14" t="n">
        <f aca="false">IFERROR(INDEX('Visão Geral'!$D$12:$D$16,MATCH(C57,'Visão Geral'!$A$12:$A$16,0)),"A definir")</f>
        <v>46337</v>
      </c>
      <c r="J57" s="4" t="s">
        <v>92</v>
      </c>
      <c r="K57" s="8" t="n">
        <f aca="false">G57*'Visão Geral'!$B$9</f>
        <v>210</v>
      </c>
    </row>
    <row r="58" customFormat="false" ht="28.35" hidden="false" customHeight="false" outlineLevel="0" collapsed="false">
      <c r="A58" s="4" t="s">
        <v>311</v>
      </c>
      <c r="B58" s="4" t="s">
        <v>118</v>
      </c>
      <c r="C58" s="4" t="n">
        <v>3</v>
      </c>
      <c r="D58" s="4" t="s">
        <v>312</v>
      </c>
      <c r="E58" s="4" t="s">
        <v>313</v>
      </c>
      <c r="F58" s="4" t="s">
        <v>6</v>
      </c>
      <c r="G58" s="4" t="n">
        <v>5</v>
      </c>
      <c r="H58" s="14" t="n">
        <f aca="false">IFERROR(INDEX('Visão Geral'!$C$12:$C$16,MATCH(C58,'Visão Geral'!$A$12:$A$16,0)),"A definir")</f>
        <v>46331</v>
      </c>
      <c r="I58" s="14" t="n">
        <f aca="false">IFERROR(INDEX('Visão Geral'!$D$12:$D$16,MATCH(C58,'Visão Geral'!$A$12:$A$16,0)),"A definir")</f>
        <v>46337</v>
      </c>
      <c r="J58" s="4" t="s">
        <v>92</v>
      </c>
      <c r="K58" s="8" t="n">
        <f aca="false">G58*'Visão Geral'!$B$9</f>
        <v>175</v>
      </c>
    </row>
    <row r="59" customFormat="false" ht="15" hidden="false" customHeight="false" outlineLevel="0" collapsed="false">
      <c r="A59" s="4" t="s">
        <v>314</v>
      </c>
      <c r="B59" s="4" t="s">
        <v>118</v>
      </c>
      <c r="C59" s="4" t="n">
        <v>3</v>
      </c>
      <c r="D59" s="4" t="s">
        <v>315</v>
      </c>
      <c r="E59" s="4" t="s">
        <v>316</v>
      </c>
      <c r="F59" s="4" t="s">
        <v>6</v>
      </c>
      <c r="G59" s="4" t="n">
        <v>4</v>
      </c>
      <c r="H59" s="14" t="n">
        <f aca="false">IFERROR(INDEX('Visão Geral'!$C$12:$C$16,MATCH(C59,'Visão Geral'!$A$12:$A$16,0)),"A definir")</f>
        <v>46331</v>
      </c>
      <c r="I59" s="14" t="n">
        <f aca="false">IFERROR(INDEX('Visão Geral'!$D$12:$D$16,MATCH(C59,'Visão Geral'!$A$12:$A$16,0)),"A definir")</f>
        <v>46337</v>
      </c>
      <c r="J59" s="4" t="s">
        <v>92</v>
      </c>
      <c r="K59" s="8" t="n">
        <f aca="false">G59*'Visão Geral'!$B$9</f>
        <v>140</v>
      </c>
    </row>
    <row r="60" customFormat="false" ht="28.35" hidden="false" customHeight="false" outlineLevel="0" collapsed="false">
      <c r="A60" s="4" t="s">
        <v>317</v>
      </c>
      <c r="B60" s="4" t="s">
        <v>121</v>
      </c>
      <c r="C60" s="4" t="n">
        <v>4</v>
      </c>
      <c r="D60" s="4" t="s">
        <v>318</v>
      </c>
      <c r="E60" s="4" t="s">
        <v>319</v>
      </c>
      <c r="F60" s="4" t="s">
        <v>9</v>
      </c>
      <c r="G60" s="4" t="n">
        <v>8</v>
      </c>
      <c r="H60" s="14" t="n">
        <f aca="false">IFERROR(INDEX('Visão Geral'!$C$12:$C$16,MATCH(C60,'Visão Geral'!$A$12:$A$16,0)),"A definir")</f>
        <v>46338</v>
      </c>
      <c r="I60" s="14" t="n">
        <f aca="false">IFERROR(INDEX('Visão Geral'!$D$12:$D$16,MATCH(C60,'Visão Geral'!$A$12:$A$16,0)),"A definir")</f>
        <v>46344</v>
      </c>
      <c r="J60" s="4" t="s">
        <v>92</v>
      </c>
      <c r="K60" s="8" t="n">
        <f aca="false">G60*'Visão Geral'!$B$9</f>
        <v>280</v>
      </c>
    </row>
    <row r="61" customFormat="false" ht="28.35" hidden="false" customHeight="false" outlineLevel="0" collapsed="false">
      <c r="A61" s="4" t="s">
        <v>320</v>
      </c>
      <c r="B61" s="4" t="s">
        <v>121</v>
      </c>
      <c r="C61" s="4" t="n">
        <v>4</v>
      </c>
      <c r="D61" s="4" t="s">
        <v>321</v>
      </c>
      <c r="E61" s="4" t="s">
        <v>322</v>
      </c>
      <c r="F61" s="4" t="s">
        <v>9</v>
      </c>
      <c r="G61" s="4" t="n">
        <v>3</v>
      </c>
      <c r="H61" s="14" t="n">
        <f aca="false">IFERROR(INDEX('Visão Geral'!$C$12:$C$16,MATCH(C61,'Visão Geral'!$A$12:$A$16,0)),"A definir")</f>
        <v>46338</v>
      </c>
      <c r="I61" s="14" t="n">
        <f aca="false">IFERROR(INDEX('Visão Geral'!$D$12:$D$16,MATCH(C61,'Visão Geral'!$A$12:$A$16,0)),"A definir")</f>
        <v>46344</v>
      </c>
      <c r="J61" s="4" t="s">
        <v>92</v>
      </c>
      <c r="K61" s="8" t="n">
        <f aca="false">G61*'Visão Geral'!$B$9</f>
        <v>105</v>
      </c>
    </row>
    <row r="62" customFormat="false" ht="15" hidden="false" customHeight="false" outlineLevel="0" collapsed="false">
      <c r="A62" s="4" t="s">
        <v>323</v>
      </c>
      <c r="B62" s="4" t="s">
        <v>121</v>
      </c>
      <c r="C62" s="4" t="n">
        <v>4</v>
      </c>
      <c r="D62" s="4" t="s">
        <v>324</v>
      </c>
      <c r="E62" s="4" t="s">
        <v>325</v>
      </c>
      <c r="F62" s="4" t="s">
        <v>9</v>
      </c>
      <c r="G62" s="4" t="n">
        <v>4</v>
      </c>
      <c r="H62" s="14" t="n">
        <f aca="false">IFERROR(INDEX('Visão Geral'!$C$12:$C$16,MATCH(C62,'Visão Geral'!$A$12:$A$16,0)),"A definir")</f>
        <v>46338</v>
      </c>
      <c r="I62" s="14" t="n">
        <f aca="false">IFERROR(INDEX('Visão Geral'!$D$12:$D$16,MATCH(C62,'Visão Geral'!$A$12:$A$16,0)),"A definir")</f>
        <v>46344</v>
      </c>
      <c r="J62" s="4" t="s">
        <v>92</v>
      </c>
      <c r="K62" s="8" t="n">
        <f aca="false">G62*'Visão Geral'!$B$9</f>
        <v>140</v>
      </c>
    </row>
    <row r="63" customFormat="false" ht="15" hidden="false" customHeight="false" outlineLevel="0" collapsed="false">
      <c r="A63" s="4" t="s">
        <v>326</v>
      </c>
      <c r="B63" s="4" t="s">
        <v>124</v>
      </c>
      <c r="C63" s="4" t="n">
        <v>4</v>
      </c>
      <c r="D63" s="4" t="s">
        <v>327</v>
      </c>
      <c r="E63" s="4" t="s">
        <v>328</v>
      </c>
      <c r="F63" s="4" t="s">
        <v>9</v>
      </c>
      <c r="G63" s="4" t="n">
        <v>4</v>
      </c>
      <c r="H63" s="14" t="n">
        <f aca="false">IFERROR(INDEX('Visão Geral'!$C$12:$C$16,MATCH(C63,'Visão Geral'!$A$12:$A$16,0)),"A definir")</f>
        <v>46338</v>
      </c>
      <c r="I63" s="14" t="n">
        <f aca="false">IFERROR(INDEX('Visão Geral'!$D$12:$D$16,MATCH(C63,'Visão Geral'!$A$12:$A$16,0)),"A definir")</f>
        <v>46344</v>
      </c>
      <c r="J63" s="4" t="s">
        <v>92</v>
      </c>
      <c r="K63" s="8" t="n">
        <f aca="false">G63*'Visão Geral'!$B$9</f>
        <v>140</v>
      </c>
    </row>
    <row r="64" customFormat="false" ht="15" hidden="false" customHeight="false" outlineLevel="0" collapsed="false">
      <c r="A64" s="4" t="s">
        <v>329</v>
      </c>
      <c r="B64" s="4" t="s">
        <v>124</v>
      </c>
      <c r="C64" s="4" t="n">
        <v>4</v>
      </c>
      <c r="D64" s="4" t="s">
        <v>330</v>
      </c>
      <c r="E64" s="4" t="s">
        <v>331</v>
      </c>
      <c r="F64" s="4" t="s">
        <v>9</v>
      </c>
      <c r="G64" s="4" t="n">
        <v>3</v>
      </c>
      <c r="H64" s="14" t="n">
        <f aca="false">IFERROR(INDEX('Visão Geral'!$C$12:$C$16,MATCH(C64,'Visão Geral'!$A$12:$A$16,0)),"A definir")</f>
        <v>46338</v>
      </c>
      <c r="I64" s="14" t="n">
        <f aca="false">IFERROR(INDEX('Visão Geral'!$D$12:$D$16,MATCH(C64,'Visão Geral'!$A$12:$A$16,0)),"A definir")</f>
        <v>46344</v>
      </c>
      <c r="J64" s="4" t="s">
        <v>92</v>
      </c>
      <c r="K64" s="8" t="n">
        <f aca="false">G64*'Visão Geral'!$B$9</f>
        <v>105</v>
      </c>
    </row>
    <row r="65" customFormat="false" ht="28.35" hidden="false" customHeight="false" outlineLevel="0" collapsed="false">
      <c r="A65" s="4" t="s">
        <v>332</v>
      </c>
      <c r="B65" s="4" t="s">
        <v>124</v>
      </c>
      <c r="C65" s="4" t="n">
        <v>4</v>
      </c>
      <c r="D65" s="4" t="s">
        <v>333</v>
      </c>
      <c r="E65" s="4" t="s">
        <v>334</v>
      </c>
      <c r="F65" s="4" t="s">
        <v>9</v>
      </c>
      <c r="G65" s="4" t="n">
        <v>2</v>
      </c>
      <c r="H65" s="14" t="n">
        <f aca="false">IFERROR(INDEX('Visão Geral'!$C$12:$C$16,MATCH(C65,'Visão Geral'!$A$12:$A$16,0)),"A definir")</f>
        <v>46338</v>
      </c>
      <c r="I65" s="14" t="n">
        <f aca="false">IFERROR(INDEX('Visão Geral'!$D$12:$D$16,MATCH(C65,'Visão Geral'!$A$12:$A$16,0)),"A definir")</f>
        <v>46344</v>
      </c>
      <c r="J65" s="4" t="s">
        <v>92</v>
      </c>
      <c r="K65" s="8" t="n">
        <f aca="false">G65*'Visão Geral'!$B$9</f>
        <v>70</v>
      </c>
    </row>
    <row r="66" customFormat="false" ht="15" hidden="false" customHeight="false" outlineLevel="0" collapsed="false">
      <c r="A66" s="4" t="s">
        <v>335</v>
      </c>
      <c r="B66" s="4" t="s">
        <v>127</v>
      </c>
      <c r="C66" s="4" t="n">
        <v>4</v>
      </c>
      <c r="D66" s="4" t="s">
        <v>336</v>
      </c>
      <c r="E66" s="4" t="s">
        <v>337</v>
      </c>
      <c r="F66" s="4" t="s">
        <v>68</v>
      </c>
      <c r="G66" s="4" t="n">
        <v>6</v>
      </c>
      <c r="H66" s="14" t="n">
        <f aca="false">IFERROR(INDEX('Visão Geral'!$C$12:$C$16,MATCH(C66,'Visão Geral'!$A$12:$A$16,0)),"A definir")</f>
        <v>46338</v>
      </c>
      <c r="I66" s="14" t="n">
        <f aca="false">IFERROR(INDEX('Visão Geral'!$D$12:$D$16,MATCH(C66,'Visão Geral'!$A$12:$A$16,0)),"A definir")</f>
        <v>46344</v>
      </c>
      <c r="J66" s="4" t="s">
        <v>92</v>
      </c>
      <c r="K66" s="8" t="n">
        <f aca="false">G66*'Visão Geral'!$B$9</f>
        <v>210</v>
      </c>
    </row>
    <row r="67" customFormat="false" ht="15" hidden="false" customHeight="false" outlineLevel="0" collapsed="false">
      <c r="A67" s="4" t="s">
        <v>338</v>
      </c>
      <c r="B67" s="4" t="s">
        <v>127</v>
      </c>
      <c r="C67" s="4" t="n">
        <v>4</v>
      </c>
      <c r="D67" s="4" t="s">
        <v>339</v>
      </c>
      <c r="E67" s="4" t="s">
        <v>340</v>
      </c>
      <c r="F67" s="4" t="s">
        <v>68</v>
      </c>
      <c r="G67" s="4" t="n">
        <v>5</v>
      </c>
      <c r="H67" s="14" t="n">
        <f aca="false">IFERROR(INDEX('Visão Geral'!$C$12:$C$16,MATCH(C67,'Visão Geral'!$A$12:$A$16,0)),"A definir")</f>
        <v>46338</v>
      </c>
      <c r="I67" s="14" t="n">
        <f aca="false">IFERROR(INDEX('Visão Geral'!$D$12:$D$16,MATCH(C67,'Visão Geral'!$A$12:$A$16,0)),"A definir")</f>
        <v>46344</v>
      </c>
      <c r="J67" s="4" t="s">
        <v>92</v>
      </c>
      <c r="K67" s="8" t="n">
        <f aca="false">G67*'Visão Geral'!$B$9</f>
        <v>175</v>
      </c>
    </row>
    <row r="68" customFormat="false" ht="15" hidden="false" customHeight="false" outlineLevel="0" collapsed="false">
      <c r="A68" s="4" t="s">
        <v>341</v>
      </c>
      <c r="B68" s="4" t="s">
        <v>127</v>
      </c>
      <c r="C68" s="4" t="n">
        <v>4</v>
      </c>
      <c r="D68" s="4" t="s">
        <v>342</v>
      </c>
      <c r="E68" s="4" t="s">
        <v>343</v>
      </c>
      <c r="F68" s="4" t="s">
        <v>68</v>
      </c>
      <c r="G68" s="4" t="n">
        <v>4</v>
      </c>
      <c r="H68" s="14" t="n">
        <f aca="false">IFERROR(INDEX('Visão Geral'!$C$12:$C$16,MATCH(C68,'Visão Geral'!$A$12:$A$16,0)),"A definir")</f>
        <v>46338</v>
      </c>
      <c r="I68" s="14" t="n">
        <f aca="false">IFERROR(INDEX('Visão Geral'!$D$12:$D$16,MATCH(C68,'Visão Geral'!$A$12:$A$16,0)),"A definir")</f>
        <v>46344</v>
      </c>
      <c r="J68" s="4" t="s">
        <v>92</v>
      </c>
      <c r="K68" s="8" t="n">
        <f aca="false">G68*'Visão Geral'!$B$9</f>
        <v>140</v>
      </c>
    </row>
    <row r="69" customFormat="false" ht="15" hidden="false" customHeight="false" outlineLevel="0" collapsed="false">
      <c r="A69" s="4" t="s">
        <v>344</v>
      </c>
      <c r="B69" s="4" t="s">
        <v>131</v>
      </c>
      <c r="C69" s="4" t="n">
        <v>4</v>
      </c>
      <c r="D69" s="4" t="s">
        <v>345</v>
      </c>
      <c r="E69" s="4" t="s">
        <v>346</v>
      </c>
      <c r="F69" s="4" t="s">
        <v>6</v>
      </c>
      <c r="G69" s="4" t="n">
        <v>6</v>
      </c>
      <c r="H69" s="14" t="n">
        <f aca="false">IFERROR(INDEX('Visão Geral'!$C$12:$C$16,MATCH(C69,'Visão Geral'!$A$12:$A$16,0)),"A definir")</f>
        <v>46338</v>
      </c>
      <c r="I69" s="14" t="n">
        <f aca="false">IFERROR(INDEX('Visão Geral'!$D$12:$D$16,MATCH(C69,'Visão Geral'!$A$12:$A$16,0)),"A definir")</f>
        <v>46344</v>
      </c>
      <c r="J69" s="4" t="s">
        <v>92</v>
      </c>
      <c r="K69" s="8" t="n">
        <f aca="false">G69*'Visão Geral'!$B$9</f>
        <v>210</v>
      </c>
    </row>
    <row r="70" customFormat="false" ht="28.35" hidden="false" customHeight="false" outlineLevel="0" collapsed="false">
      <c r="A70" s="4" t="s">
        <v>347</v>
      </c>
      <c r="B70" s="4" t="s">
        <v>131</v>
      </c>
      <c r="C70" s="4" t="n">
        <v>4</v>
      </c>
      <c r="D70" s="4" t="s">
        <v>348</v>
      </c>
      <c r="E70" s="4" t="s">
        <v>349</v>
      </c>
      <c r="F70" s="4" t="s">
        <v>6</v>
      </c>
      <c r="G70" s="4" t="n">
        <v>5</v>
      </c>
      <c r="H70" s="14" t="n">
        <f aca="false">IFERROR(INDEX('Visão Geral'!$C$12:$C$16,MATCH(C70,'Visão Geral'!$A$12:$A$16,0)),"A definir")</f>
        <v>46338</v>
      </c>
      <c r="I70" s="14" t="n">
        <f aca="false">IFERROR(INDEX('Visão Geral'!$D$12:$D$16,MATCH(C70,'Visão Geral'!$A$12:$A$16,0)),"A definir")</f>
        <v>46344</v>
      </c>
      <c r="J70" s="4" t="s">
        <v>92</v>
      </c>
      <c r="K70" s="8" t="n">
        <f aca="false">G70*'Visão Geral'!$B$9</f>
        <v>175</v>
      </c>
    </row>
    <row r="71" customFormat="false" ht="15" hidden="false" customHeight="false" outlineLevel="0" collapsed="false">
      <c r="A71" s="4" t="s">
        <v>350</v>
      </c>
      <c r="B71" s="4" t="s">
        <v>131</v>
      </c>
      <c r="C71" s="4" t="n">
        <v>4</v>
      </c>
      <c r="D71" s="4" t="s">
        <v>351</v>
      </c>
      <c r="E71" s="4" t="s">
        <v>352</v>
      </c>
      <c r="F71" s="4" t="s">
        <v>6</v>
      </c>
      <c r="G71" s="4" t="n">
        <v>4</v>
      </c>
      <c r="H71" s="14" t="n">
        <f aca="false">IFERROR(INDEX('Visão Geral'!$C$12:$C$16,MATCH(C71,'Visão Geral'!$A$12:$A$16,0)),"A definir")</f>
        <v>46338</v>
      </c>
      <c r="I71" s="14" t="n">
        <f aca="false">IFERROR(INDEX('Visão Geral'!$D$12:$D$16,MATCH(C71,'Visão Geral'!$A$12:$A$16,0)),"A definir")</f>
        <v>46344</v>
      </c>
      <c r="J71" s="4" t="s">
        <v>92</v>
      </c>
      <c r="K71" s="8" t="n">
        <f aca="false">G71*'Visão Geral'!$B$9</f>
        <v>140</v>
      </c>
    </row>
    <row r="72" customFormat="false" ht="28.35" hidden="false" customHeight="false" outlineLevel="0" collapsed="false">
      <c r="A72" s="4" t="s">
        <v>353</v>
      </c>
      <c r="B72" s="4" t="s">
        <v>134</v>
      </c>
      <c r="C72" s="4" t="n">
        <v>4</v>
      </c>
      <c r="D72" s="4" t="s">
        <v>354</v>
      </c>
      <c r="E72" s="4" t="s">
        <v>355</v>
      </c>
      <c r="F72" s="4" t="s">
        <v>68</v>
      </c>
      <c r="G72" s="4" t="n">
        <v>8</v>
      </c>
      <c r="H72" s="14" t="n">
        <f aca="false">IFERROR(INDEX('Visão Geral'!$C$12:$C$16,MATCH(C72,'Visão Geral'!$A$12:$A$16,0)),"A definir")</f>
        <v>46338</v>
      </c>
      <c r="I72" s="14" t="n">
        <f aca="false">IFERROR(INDEX('Visão Geral'!$D$12:$D$16,MATCH(C72,'Visão Geral'!$A$12:$A$16,0)),"A definir")</f>
        <v>46344</v>
      </c>
      <c r="J72" s="4" t="s">
        <v>92</v>
      </c>
      <c r="K72" s="8" t="n">
        <f aca="false">G72*'Visão Geral'!$B$9</f>
        <v>280</v>
      </c>
    </row>
    <row r="73" customFormat="false" ht="15" hidden="false" customHeight="false" outlineLevel="0" collapsed="false">
      <c r="A73" s="4" t="s">
        <v>356</v>
      </c>
      <c r="B73" s="4" t="s">
        <v>134</v>
      </c>
      <c r="C73" s="4" t="n">
        <v>4</v>
      </c>
      <c r="D73" s="4" t="s">
        <v>357</v>
      </c>
      <c r="E73" s="4" t="s">
        <v>358</v>
      </c>
      <c r="F73" s="4" t="s">
        <v>68</v>
      </c>
      <c r="G73" s="4" t="n">
        <v>5</v>
      </c>
      <c r="H73" s="14" t="n">
        <f aca="false">IFERROR(INDEX('Visão Geral'!$C$12:$C$16,MATCH(C73,'Visão Geral'!$A$12:$A$16,0)),"A definir")</f>
        <v>46338</v>
      </c>
      <c r="I73" s="14" t="n">
        <f aca="false">IFERROR(INDEX('Visão Geral'!$D$12:$D$16,MATCH(C73,'Visão Geral'!$A$12:$A$16,0)),"A definir")</f>
        <v>46344</v>
      </c>
      <c r="J73" s="4" t="s">
        <v>92</v>
      </c>
      <c r="K73" s="8" t="n">
        <f aca="false">G73*'Visão Geral'!$B$9</f>
        <v>175</v>
      </c>
    </row>
    <row r="74" customFormat="false" ht="15" hidden="false" customHeight="false" outlineLevel="0" collapsed="false">
      <c r="A74" s="4" t="s">
        <v>359</v>
      </c>
      <c r="B74" s="4" t="s">
        <v>134</v>
      </c>
      <c r="C74" s="4" t="n">
        <v>4</v>
      </c>
      <c r="D74" s="4" t="s">
        <v>360</v>
      </c>
      <c r="E74" s="4" t="s">
        <v>361</v>
      </c>
      <c r="F74" s="4" t="s">
        <v>68</v>
      </c>
      <c r="G74" s="4" t="n">
        <v>2</v>
      </c>
      <c r="H74" s="14" t="n">
        <f aca="false">IFERROR(INDEX('Visão Geral'!$C$12:$C$16,MATCH(C74,'Visão Geral'!$A$12:$A$16,0)),"A definir")</f>
        <v>46338</v>
      </c>
      <c r="I74" s="14" t="n">
        <f aca="false">IFERROR(INDEX('Visão Geral'!$D$12:$D$16,MATCH(C74,'Visão Geral'!$A$12:$A$16,0)),"A definir")</f>
        <v>46344</v>
      </c>
      <c r="J74" s="4" t="s">
        <v>92</v>
      </c>
      <c r="K74" s="8" t="n">
        <f aca="false">G74*'Visão Geral'!$B$9</f>
        <v>70</v>
      </c>
    </row>
    <row r="75" customFormat="false" ht="15" hidden="false" customHeight="false" outlineLevel="0" collapsed="false">
      <c r="A75" s="4" t="s">
        <v>362</v>
      </c>
      <c r="B75" s="4" t="s">
        <v>138</v>
      </c>
      <c r="C75" s="4" t="n">
        <v>4</v>
      </c>
      <c r="D75" s="4" t="s">
        <v>363</v>
      </c>
      <c r="E75" s="4" t="s">
        <v>364</v>
      </c>
      <c r="F75" s="4" t="s">
        <v>6</v>
      </c>
      <c r="G75" s="4" t="n">
        <v>4</v>
      </c>
      <c r="H75" s="14" t="n">
        <f aca="false">IFERROR(INDEX('Visão Geral'!$C$12:$C$16,MATCH(C75,'Visão Geral'!$A$12:$A$16,0)),"A definir")</f>
        <v>46338</v>
      </c>
      <c r="I75" s="14" t="n">
        <f aca="false">IFERROR(INDEX('Visão Geral'!$D$12:$D$16,MATCH(C75,'Visão Geral'!$A$12:$A$16,0)),"A definir")</f>
        <v>46344</v>
      </c>
      <c r="J75" s="4" t="s">
        <v>92</v>
      </c>
      <c r="K75" s="8" t="n">
        <f aca="false">G75*'Visão Geral'!$B$9</f>
        <v>140</v>
      </c>
    </row>
    <row r="76" customFormat="false" ht="15" hidden="false" customHeight="false" outlineLevel="0" collapsed="false">
      <c r="A76" s="4" t="s">
        <v>365</v>
      </c>
      <c r="B76" s="4" t="s">
        <v>138</v>
      </c>
      <c r="C76" s="4" t="n">
        <v>4</v>
      </c>
      <c r="D76" s="4" t="s">
        <v>366</v>
      </c>
      <c r="E76" s="4" t="s">
        <v>367</v>
      </c>
      <c r="F76" s="4" t="s">
        <v>6</v>
      </c>
      <c r="G76" s="4" t="n">
        <v>3</v>
      </c>
      <c r="H76" s="14" t="n">
        <f aca="false">IFERROR(INDEX('Visão Geral'!$C$12:$C$16,MATCH(C76,'Visão Geral'!$A$12:$A$16,0)),"A definir")</f>
        <v>46338</v>
      </c>
      <c r="I76" s="14" t="n">
        <f aca="false">IFERROR(INDEX('Visão Geral'!$D$12:$D$16,MATCH(C76,'Visão Geral'!$A$12:$A$16,0)),"A definir")</f>
        <v>46344</v>
      </c>
      <c r="J76" s="4" t="s">
        <v>92</v>
      </c>
      <c r="K76" s="8" t="n">
        <f aca="false">G76*'Visão Geral'!$B$9</f>
        <v>105</v>
      </c>
    </row>
    <row r="77" customFormat="false" ht="15" hidden="false" customHeight="false" outlineLevel="0" collapsed="false">
      <c r="A77" s="4" t="s">
        <v>368</v>
      </c>
      <c r="B77" s="4" t="s">
        <v>138</v>
      </c>
      <c r="C77" s="4" t="n">
        <v>4</v>
      </c>
      <c r="D77" s="4" t="s">
        <v>369</v>
      </c>
      <c r="E77" s="4" t="s">
        <v>370</v>
      </c>
      <c r="F77" s="4" t="s">
        <v>6</v>
      </c>
      <c r="G77" s="4" t="n">
        <v>2</v>
      </c>
      <c r="H77" s="14" t="n">
        <f aca="false">IFERROR(INDEX('Visão Geral'!$C$12:$C$16,MATCH(C77,'Visão Geral'!$A$12:$A$16,0)),"A definir")</f>
        <v>46338</v>
      </c>
      <c r="I77" s="14" t="n">
        <f aca="false">IFERROR(INDEX('Visão Geral'!$D$12:$D$16,MATCH(C77,'Visão Geral'!$A$12:$A$16,0)),"A definir")</f>
        <v>46344</v>
      </c>
      <c r="J77" s="4" t="s">
        <v>92</v>
      </c>
      <c r="K77" s="8" t="n">
        <f aca="false">G77*'Visão Geral'!$B$9</f>
        <v>70</v>
      </c>
    </row>
    <row r="78" customFormat="false" ht="15" hidden="false" customHeight="false" outlineLevel="0" collapsed="false">
      <c r="A78" s="4" t="s">
        <v>371</v>
      </c>
      <c r="B78" s="4" t="s">
        <v>140</v>
      </c>
      <c r="C78" s="4" t="s">
        <v>36</v>
      </c>
      <c r="D78" s="4" t="s">
        <v>372</v>
      </c>
      <c r="E78" s="4" t="s">
        <v>373</v>
      </c>
      <c r="F78" s="4" t="s">
        <v>144</v>
      </c>
      <c r="G78" s="4" t="n">
        <v>6</v>
      </c>
      <c r="H78" s="14" t="str">
        <f aca="false">IFERROR(INDEX('Visão Geral'!$C$12:$C$16,MATCH(C78,'Visão Geral'!$A$12:$A$16,0)),"A definir")</f>
        <v>A definir</v>
      </c>
      <c r="I78" s="14" t="str">
        <f aca="false">IFERROR(INDEX('Visão Geral'!$D$12:$D$16,MATCH(C78,'Visão Geral'!$A$12:$A$16,0)),"A definir")</f>
        <v>A definir</v>
      </c>
      <c r="J78" s="4" t="s">
        <v>92</v>
      </c>
      <c r="K78" s="8" t="n">
        <f aca="false">G78*'Visão Geral'!$B$9</f>
        <v>210</v>
      </c>
    </row>
    <row r="79" customFormat="false" ht="28.35" hidden="false" customHeight="false" outlineLevel="0" collapsed="false">
      <c r="A79" s="4" t="s">
        <v>374</v>
      </c>
      <c r="B79" s="4" t="s">
        <v>140</v>
      </c>
      <c r="C79" s="4" t="s">
        <v>36</v>
      </c>
      <c r="D79" s="4" t="s">
        <v>375</v>
      </c>
      <c r="E79" s="4" t="s">
        <v>376</v>
      </c>
      <c r="F79" s="4" t="s">
        <v>144</v>
      </c>
      <c r="G79" s="4" t="n">
        <v>6</v>
      </c>
      <c r="H79" s="14" t="str">
        <f aca="false">IFERROR(INDEX('Visão Geral'!$C$12:$C$16,MATCH(C79,'Visão Geral'!$A$12:$A$16,0)),"A definir")</f>
        <v>A definir</v>
      </c>
      <c r="I79" s="14" t="str">
        <f aca="false">IFERROR(INDEX('Visão Geral'!$D$12:$D$16,MATCH(C79,'Visão Geral'!$A$12:$A$16,0)),"A definir")</f>
        <v>A definir</v>
      </c>
      <c r="J79" s="4" t="s">
        <v>92</v>
      </c>
      <c r="K79" s="8" t="n">
        <f aca="false">G79*'Visão Geral'!$B$9</f>
        <v>210</v>
      </c>
    </row>
    <row r="80" customFormat="false" ht="15" hidden="false" customHeight="false" outlineLevel="0" collapsed="false">
      <c r="A80" s="4" t="s">
        <v>377</v>
      </c>
      <c r="B80" s="4" t="s">
        <v>140</v>
      </c>
      <c r="C80" s="4" t="s">
        <v>36</v>
      </c>
      <c r="D80" s="4" t="s">
        <v>378</v>
      </c>
      <c r="E80" s="4" t="s">
        <v>379</v>
      </c>
      <c r="F80" s="4" t="s">
        <v>144</v>
      </c>
      <c r="G80" s="4" t="n">
        <v>3</v>
      </c>
      <c r="H80" s="14" t="str">
        <f aca="false">IFERROR(INDEX('Visão Geral'!$C$12:$C$16,MATCH(C80,'Visão Geral'!$A$12:$A$16,0)),"A definir")</f>
        <v>A definir</v>
      </c>
      <c r="I80" s="14" t="str">
        <f aca="false">IFERROR(INDEX('Visão Geral'!$D$12:$D$16,MATCH(C80,'Visão Geral'!$A$12:$A$16,0)),"A definir")</f>
        <v>A definir</v>
      </c>
      <c r="J80" s="4" t="s">
        <v>92</v>
      </c>
      <c r="K80" s="8" t="n">
        <f aca="false">G80*'Visão Geral'!$B$9</f>
        <v>105</v>
      </c>
    </row>
    <row r="81" customFormat="false" ht="15" hidden="false" customHeight="false" outlineLevel="0" collapsed="false">
      <c r="F81" s="12" t="s">
        <v>39</v>
      </c>
      <c r="G81" s="12" t="n">
        <f aca="false">SUM(G4:G80)</f>
        <v>321</v>
      </c>
      <c r="K81" s="13" t="n">
        <f aca="false">SUM(K4:K80)</f>
        <v>11235</v>
      </c>
    </row>
  </sheetData>
  <autoFilter ref="A3:K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7" min="6" style="0" width="34"/>
  </cols>
  <sheetData>
    <row r="1" customFormat="false" ht="17.35" hidden="false" customHeight="false" outlineLevel="0" collapsed="false">
      <c r="A1" s="1" t="s">
        <v>380</v>
      </c>
    </row>
    <row r="2" customFormat="false" ht="15" hidden="false" customHeight="false" outlineLevel="0" collapsed="false">
      <c r="A2" s="2" t="s">
        <v>381</v>
      </c>
    </row>
    <row r="3" customFormat="false" ht="15" hidden="false" customHeight="false" outlineLevel="0" collapsed="false">
      <c r="A3" s="3" t="s">
        <v>382</v>
      </c>
      <c r="B3" s="3" t="s">
        <v>383</v>
      </c>
      <c r="C3" s="3" t="s">
        <v>384</v>
      </c>
      <c r="D3" s="3" t="s">
        <v>385</v>
      </c>
      <c r="E3" s="3" t="s">
        <v>386</v>
      </c>
      <c r="F3" s="3" t="s">
        <v>387</v>
      </c>
      <c r="G3" s="3" t="s">
        <v>388</v>
      </c>
    </row>
    <row r="4" customFormat="false" ht="28.35" hidden="false" customHeight="false" outlineLevel="0" collapsed="false">
      <c r="A4" s="4" t="s">
        <v>389</v>
      </c>
      <c r="B4" s="4" t="s">
        <v>390</v>
      </c>
      <c r="C4" s="4" t="s">
        <v>391</v>
      </c>
      <c r="D4" s="4" t="s">
        <v>392</v>
      </c>
      <c r="E4" s="4" t="s">
        <v>393</v>
      </c>
      <c r="F4" s="4" t="s">
        <v>394</v>
      </c>
      <c r="G4" s="4" t="s">
        <v>395</v>
      </c>
    </row>
    <row r="5" customFormat="false" ht="28.35" hidden="false" customHeight="false" outlineLevel="0" collapsed="false">
      <c r="A5" s="4" t="s">
        <v>396</v>
      </c>
      <c r="B5" s="4" t="s">
        <v>397</v>
      </c>
      <c r="C5" s="4" t="s">
        <v>398</v>
      </c>
      <c r="D5" s="4" t="s">
        <v>399</v>
      </c>
      <c r="E5" s="4" t="s">
        <v>400</v>
      </c>
      <c r="F5" s="4" t="s">
        <v>401</v>
      </c>
      <c r="G5" s="4" t="s">
        <v>402</v>
      </c>
    </row>
    <row r="6" customFormat="false" ht="28.35" hidden="false" customHeight="false" outlineLevel="0" collapsed="false">
      <c r="A6" s="4" t="s">
        <v>403</v>
      </c>
      <c r="B6" s="4" t="s">
        <v>404</v>
      </c>
      <c r="C6" s="4" t="s">
        <v>405</v>
      </c>
      <c r="D6" s="4" t="s">
        <v>406</v>
      </c>
      <c r="E6" s="4" t="s">
        <v>407</v>
      </c>
      <c r="F6" s="4" t="s">
        <v>408</v>
      </c>
      <c r="G6" s="4" t="s">
        <v>409</v>
      </c>
    </row>
    <row r="7" customFormat="false" ht="28.35" hidden="false" customHeight="false" outlineLevel="0" collapsed="false">
      <c r="A7" s="4" t="s">
        <v>410</v>
      </c>
      <c r="B7" s="4" t="s">
        <v>411</v>
      </c>
      <c r="C7" s="4" t="s">
        <v>412</v>
      </c>
      <c r="D7" s="4" t="s">
        <v>392</v>
      </c>
      <c r="E7" s="4" t="s">
        <v>413</v>
      </c>
      <c r="F7" s="4" t="s">
        <v>414</v>
      </c>
      <c r="G7" s="4" t="s">
        <v>415</v>
      </c>
    </row>
    <row r="9" customFormat="false" ht="15" hidden="false" customHeight="false" outlineLevel="0" collapsed="false">
      <c r="A9" s="5" t="s">
        <v>416</v>
      </c>
    </row>
    <row r="10" customFormat="false" ht="15" hidden="false" customHeight="false" outlineLevel="0" collapsed="false">
      <c r="A10" s="3" t="s">
        <v>17</v>
      </c>
      <c r="B10" s="3" t="s">
        <v>417</v>
      </c>
      <c r="C10" s="3" t="s">
        <v>418</v>
      </c>
      <c r="D10" s="3" t="s">
        <v>419</v>
      </c>
      <c r="E10" s="3" t="s">
        <v>420</v>
      </c>
      <c r="F10" s="3" t="s">
        <v>421</v>
      </c>
      <c r="G10" s="3" t="s">
        <v>422</v>
      </c>
    </row>
    <row r="11" customFormat="false" ht="15" hidden="false" customHeight="false" outlineLevel="0" collapsed="false">
      <c r="A11" s="4" t="str">
        <f aca="false">'Visão Geral'!B12</f>
        <v>Sprint 0 - Planejamento e Requisitos</v>
      </c>
      <c r="B11" s="14" t="n">
        <f aca="false">'Visão Geral'!C12</f>
        <v>46307</v>
      </c>
      <c r="C11" s="14" t="n">
        <f aca="false">'Visão Geral'!C12</f>
        <v>46307</v>
      </c>
      <c r="D11" s="14" t="n">
        <f aca="false">'Visão Geral'!D12</f>
        <v>46316</v>
      </c>
      <c r="E11" s="14" t="n">
        <f aca="false">'Visão Geral'!D12</f>
        <v>46316</v>
      </c>
      <c r="F11" s="14" t="n">
        <f aca="false">'Visão Geral'!D12</f>
        <v>46316</v>
      </c>
      <c r="G11" s="4" t="n">
        <f aca="false">'Visão Geral'!E12</f>
        <v>8</v>
      </c>
    </row>
    <row r="12" customFormat="false" ht="15" hidden="false" customHeight="false" outlineLevel="0" collapsed="false">
      <c r="A12" s="4" t="str">
        <f aca="false">'Visão Geral'!B13</f>
        <v>Sprint 1 - Base do sistema</v>
      </c>
      <c r="B12" s="14" t="n">
        <f aca="false">'Visão Geral'!C13</f>
        <v>46317</v>
      </c>
      <c r="C12" s="14" t="n">
        <f aca="false">'Visão Geral'!C13</f>
        <v>46317</v>
      </c>
      <c r="D12" s="14" t="n">
        <f aca="false">'Visão Geral'!D13</f>
        <v>46323</v>
      </c>
      <c r="E12" s="14" t="n">
        <f aca="false">'Visão Geral'!D13</f>
        <v>46323</v>
      </c>
      <c r="F12" s="14" t="n">
        <f aca="false">'Visão Geral'!D13</f>
        <v>46323</v>
      </c>
      <c r="G12" s="4" t="n">
        <f aca="false">'Visão Geral'!E13</f>
        <v>5</v>
      </c>
    </row>
    <row r="13" customFormat="false" ht="15" hidden="false" customHeight="false" outlineLevel="0" collapsed="false">
      <c r="A13" s="4" t="str">
        <f aca="false">'Visão Geral'!B14</f>
        <v>Sprint 2 - Ordem de Serviço</v>
      </c>
      <c r="B13" s="14" t="n">
        <f aca="false">'Visão Geral'!C14</f>
        <v>46324</v>
      </c>
      <c r="C13" s="14" t="n">
        <f aca="false">'Visão Geral'!C14</f>
        <v>46324</v>
      </c>
      <c r="D13" s="14" t="n">
        <f aca="false">'Visão Geral'!D14</f>
        <v>46330</v>
      </c>
      <c r="E13" s="14" t="n">
        <f aca="false">'Visão Geral'!D14</f>
        <v>46330</v>
      </c>
      <c r="F13" s="14" t="n">
        <f aca="false">'Visão Geral'!D14</f>
        <v>46330</v>
      </c>
      <c r="G13" s="4" t="n">
        <f aca="false">'Visão Geral'!E14</f>
        <v>5</v>
      </c>
    </row>
    <row r="14" customFormat="false" ht="15" hidden="false" customHeight="false" outlineLevel="0" collapsed="false">
      <c r="A14" s="4" t="str">
        <f aca="false">'Visão Geral'!B15</f>
        <v>Sprint 3 - Ciclo da OS</v>
      </c>
      <c r="B14" s="14" t="n">
        <f aca="false">'Visão Geral'!C15</f>
        <v>46331</v>
      </c>
      <c r="C14" s="14" t="n">
        <f aca="false">'Visão Geral'!C15</f>
        <v>46331</v>
      </c>
      <c r="D14" s="14" t="n">
        <f aca="false">'Visão Geral'!D15</f>
        <v>46337</v>
      </c>
      <c r="E14" s="14" t="n">
        <f aca="false">'Visão Geral'!D15</f>
        <v>46337</v>
      </c>
      <c r="F14" s="14" t="n">
        <f aca="false">'Visão Geral'!D15</f>
        <v>46337</v>
      </c>
      <c r="G14" s="4" t="n">
        <f aca="false">'Visão Geral'!E15</f>
        <v>5</v>
      </c>
    </row>
    <row r="15" customFormat="false" ht="15" hidden="false" customHeight="false" outlineLevel="0" collapsed="false">
      <c r="A15" s="4" t="str">
        <f aca="false">'Visão Geral'!B16</f>
        <v>Sprint 4 - Gestão e entrega</v>
      </c>
      <c r="B15" s="14" t="n">
        <f aca="false">'Visão Geral'!C16</f>
        <v>46338</v>
      </c>
      <c r="C15" s="14" t="n">
        <f aca="false">'Visão Geral'!C16</f>
        <v>46338</v>
      </c>
      <c r="D15" s="14" t="n">
        <f aca="false">'Visão Geral'!D16</f>
        <v>46344</v>
      </c>
      <c r="E15" s="14" t="n">
        <f aca="false">'Visão Geral'!D16</f>
        <v>46344</v>
      </c>
      <c r="F15" s="14" t="n">
        <f aca="false">'Visão Geral'!D16</f>
        <v>46344</v>
      </c>
      <c r="G15" s="4" t="n">
        <f aca="false">'Visão Geral'!E16</f>
        <v>5</v>
      </c>
    </row>
    <row r="17" customFormat="false" ht="15" hidden="false" customHeight="false" outlineLevel="0" collapsed="false">
      <c r="A17" s="5" t="s">
        <v>423</v>
      </c>
    </row>
    <row r="18" customFormat="false" ht="23.85" hidden="false" customHeight="false" outlineLevel="0" collapsed="false">
      <c r="A18" s="3" t="s">
        <v>17</v>
      </c>
      <c r="B18" s="3" t="s">
        <v>424</v>
      </c>
      <c r="C18" s="3" t="s">
        <v>425</v>
      </c>
      <c r="D18" s="3" t="s">
        <v>426</v>
      </c>
      <c r="E18" s="3" t="s">
        <v>427</v>
      </c>
      <c r="F18" s="3" t="s">
        <v>428</v>
      </c>
    </row>
    <row r="19" customFormat="false" ht="31.5" hidden="false" customHeight="true" outlineLevel="0" collapsed="false">
      <c r="A19" s="4" t="str">
        <f aca="false">'Visão Geral'!B12</f>
        <v>Sprint 0 - Planejamento e Requisitos</v>
      </c>
      <c r="B19" s="4"/>
      <c r="C19" s="4"/>
      <c r="D19" s="4"/>
      <c r="E19" s="4"/>
      <c r="F19" s="4"/>
    </row>
    <row r="20" customFormat="false" ht="31.5" hidden="false" customHeight="true" outlineLevel="0" collapsed="false">
      <c r="A20" s="4" t="str">
        <f aca="false">'Visão Geral'!B13</f>
        <v>Sprint 1 - Base do sistema</v>
      </c>
      <c r="B20" s="4"/>
      <c r="C20" s="4"/>
      <c r="D20" s="4"/>
      <c r="E20" s="4"/>
      <c r="F20" s="4"/>
    </row>
    <row r="21" customFormat="false" ht="31.5" hidden="false" customHeight="true" outlineLevel="0" collapsed="false">
      <c r="A21" s="4" t="str">
        <f aca="false">'Visão Geral'!B14</f>
        <v>Sprint 2 - Ordem de Serviço</v>
      </c>
      <c r="B21" s="4"/>
      <c r="C21" s="4"/>
      <c r="D21" s="4"/>
      <c r="E21" s="4"/>
      <c r="F21" s="4"/>
    </row>
    <row r="22" customFormat="false" ht="31.5" hidden="false" customHeight="true" outlineLevel="0" collapsed="false">
      <c r="A22" s="4" t="str">
        <f aca="false">'Visão Geral'!B15</f>
        <v>Sprint 3 - Ciclo da OS</v>
      </c>
      <c r="B22" s="4"/>
      <c r="C22" s="4"/>
      <c r="D22" s="4"/>
      <c r="E22" s="4"/>
      <c r="F22" s="4"/>
    </row>
    <row r="23" customFormat="false" ht="31.5" hidden="false" customHeight="true" outlineLevel="0" collapsed="false">
      <c r="A23" s="4" t="str">
        <f aca="false">'Visão Geral'!B16</f>
        <v>Sprint 4 - Gestão e entrega</v>
      </c>
      <c r="B23" s="4"/>
      <c r="C23" s="4"/>
      <c r="D23" s="4"/>
      <c r="E23" s="4"/>
      <c r="F23" s="4"/>
    </row>
    <row r="25" customFormat="false" ht="15" hidden="false" customHeight="false" outlineLevel="0" collapsed="false">
      <c r="A25" s="5" t="s">
        <v>429</v>
      </c>
    </row>
    <row r="26" customFormat="false" ht="23.85" hidden="false" customHeight="false" outlineLevel="0" collapsed="false">
      <c r="A26" s="3" t="s">
        <v>17</v>
      </c>
      <c r="B26" s="3" t="s">
        <v>430</v>
      </c>
      <c r="C26" s="3" t="s">
        <v>431</v>
      </c>
      <c r="D26" s="3" t="s">
        <v>432</v>
      </c>
      <c r="E26" s="3" t="s">
        <v>433</v>
      </c>
      <c r="F26" s="3" t="s">
        <v>434</v>
      </c>
    </row>
    <row r="27" customFormat="false" ht="31.5" hidden="false" customHeight="true" outlineLevel="0" collapsed="false">
      <c r="A27" s="4" t="str">
        <f aca="false">'Visão Geral'!B12</f>
        <v>Sprint 0 - Planejamento e Requisitos</v>
      </c>
      <c r="B27" s="4"/>
      <c r="C27" s="4"/>
      <c r="D27" s="4"/>
      <c r="E27" s="4"/>
      <c r="F27" s="4"/>
    </row>
    <row r="28" customFormat="false" ht="31.5" hidden="false" customHeight="true" outlineLevel="0" collapsed="false">
      <c r="A28" s="4" t="str">
        <f aca="false">'Visão Geral'!B13</f>
        <v>Sprint 1 - Base do sistema</v>
      </c>
      <c r="B28" s="4"/>
      <c r="C28" s="4"/>
      <c r="D28" s="4"/>
      <c r="E28" s="4"/>
      <c r="F28" s="4"/>
    </row>
    <row r="29" customFormat="false" ht="31.5" hidden="false" customHeight="true" outlineLevel="0" collapsed="false">
      <c r="A29" s="4" t="str">
        <f aca="false">'Visão Geral'!B14</f>
        <v>Sprint 2 - Ordem de Serviço</v>
      </c>
      <c r="B29" s="4"/>
      <c r="C29" s="4"/>
      <c r="D29" s="4"/>
      <c r="E29" s="4"/>
      <c r="F29" s="4"/>
    </row>
    <row r="30" customFormat="false" ht="31.5" hidden="false" customHeight="true" outlineLevel="0" collapsed="false">
      <c r="A30" s="4" t="str">
        <f aca="false">'Visão Geral'!B15</f>
        <v>Sprint 3 - Ciclo da OS</v>
      </c>
      <c r="B30" s="4"/>
      <c r="C30" s="4"/>
      <c r="D30" s="4"/>
      <c r="E30" s="4"/>
      <c r="F30" s="4"/>
    </row>
    <row r="31" customFormat="false" ht="31.5" hidden="false" customHeight="true" outlineLevel="0" collapsed="false">
      <c r="A31" s="4" t="str">
        <f aca="false">'Visão Geral'!B16</f>
        <v>Sprint 4 - Gestão e entrega</v>
      </c>
      <c r="B31" s="4"/>
      <c r="C31" s="4"/>
      <c r="D31" s="4"/>
      <c r="E31" s="4"/>
      <c r="F3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435</v>
      </c>
    </row>
    <row r="2" customFormat="false" ht="15" hidden="false" customHeight="false" outlineLevel="0" collapsed="false">
      <c r="A2" s="2" t="s">
        <v>436</v>
      </c>
    </row>
    <row r="3" customFormat="false" ht="23.85" hidden="false" customHeight="false" outlineLevel="0" collapsed="false">
      <c r="A3" s="3" t="s">
        <v>437</v>
      </c>
      <c r="B3" s="3" t="s">
        <v>438</v>
      </c>
      <c r="C3" s="3" t="s">
        <v>439</v>
      </c>
      <c r="D3" s="3" t="s">
        <v>440</v>
      </c>
      <c r="E3" s="3" t="s">
        <v>441</v>
      </c>
      <c r="F3" s="3" t="s">
        <v>442</v>
      </c>
      <c r="G3" s="3" t="s">
        <v>443</v>
      </c>
    </row>
    <row r="4" customFormat="false" ht="28.35" hidden="false" customHeight="false" outlineLevel="0" collapsed="false">
      <c r="A4" s="4" t="s">
        <v>154</v>
      </c>
      <c r="B4" s="4" t="s">
        <v>444</v>
      </c>
      <c r="C4" s="4" t="s">
        <v>152</v>
      </c>
      <c r="D4" s="4" t="s">
        <v>445</v>
      </c>
      <c r="E4" s="4" t="s">
        <v>153</v>
      </c>
      <c r="F4" s="14" t="n">
        <v>46316</v>
      </c>
      <c r="G4" s="4"/>
    </row>
    <row r="5" customFormat="false" ht="28.35" hidden="false" customHeight="false" outlineLevel="0" collapsed="false">
      <c r="A5" s="4" t="s">
        <v>154</v>
      </c>
      <c r="B5" s="4" t="s">
        <v>446</v>
      </c>
      <c r="C5" s="4" t="s">
        <v>157</v>
      </c>
      <c r="D5" s="4" t="s">
        <v>445</v>
      </c>
      <c r="E5" s="4" t="s">
        <v>153</v>
      </c>
      <c r="F5" s="14" t="n">
        <v>46316</v>
      </c>
      <c r="G5" s="4"/>
    </row>
    <row r="6" customFormat="false" ht="28.35" hidden="false" customHeight="false" outlineLevel="0" collapsed="false">
      <c r="A6" s="4" t="s">
        <v>154</v>
      </c>
      <c r="B6" s="4" t="s">
        <v>447</v>
      </c>
      <c r="C6" s="4" t="s">
        <v>160</v>
      </c>
      <c r="D6" s="4" t="s">
        <v>445</v>
      </c>
      <c r="E6" s="4" t="s">
        <v>153</v>
      </c>
      <c r="F6" s="14" t="n">
        <v>46316</v>
      </c>
      <c r="G6" s="4"/>
    </row>
    <row r="7" customFormat="false" ht="28.35" hidden="false" customHeight="false" outlineLevel="0" collapsed="false">
      <c r="A7" s="4" t="s">
        <v>154</v>
      </c>
      <c r="B7" s="4" t="s">
        <v>448</v>
      </c>
      <c r="C7" s="4" t="s">
        <v>163</v>
      </c>
      <c r="D7" s="4" t="s">
        <v>445</v>
      </c>
      <c r="E7" s="4" t="s">
        <v>153</v>
      </c>
      <c r="F7" s="14" t="n">
        <v>46316</v>
      </c>
      <c r="G7" s="4"/>
    </row>
    <row r="8" customFormat="false" ht="28.35" hidden="false" customHeight="false" outlineLevel="0" collapsed="false">
      <c r="A8" s="4" t="s">
        <v>154</v>
      </c>
      <c r="B8" s="4" t="s">
        <v>449</v>
      </c>
      <c r="C8" s="4" t="s">
        <v>166</v>
      </c>
      <c r="D8" s="4" t="s">
        <v>445</v>
      </c>
      <c r="E8" s="4" t="s">
        <v>153</v>
      </c>
      <c r="F8" s="14" t="n">
        <v>46316</v>
      </c>
      <c r="G8" s="4"/>
    </row>
    <row r="9" customFormat="false" ht="28.35" hidden="false" customHeight="false" outlineLevel="0" collapsed="false">
      <c r="A9" s="4" t="s">
        <v>154</v>
      </c>
      <c r="B9" s="4" t="s">
        <v>450</v>
      </c>
      <c r="C9" s="4" t="s">
        <v>169</v>
      </c>
      <c r="D9" s="4" t="s">
        <v>445</v>
      </c>
      <c r="E9" s="4" t="s">
        <v>153</v>
      </c>
      <c r="F9" s="14" t="n">
        <v>46316</v>
      </c>
      <c r="G9" s="4"/>
    </row>
    <row r="10" customFormat="false" ht="28.35" hidden="false" customHeight="false" outlineLevel="0" collapsed="false">
      <c r="A10" s="4" t="s">
        <v>173</v>
      </c>
      <c r="B10" s="4" t="s">
        <v>451</v>
      </c>
      <c r="C10" s="4" t="s">
        <v>172</v>
      </c>
      <c r="D10" s="4" t="s">
        <v>445</v>
      </c>
      <c r="E10" s="4" t="s">
        <v>153</v>
      </c>
      <c r="F10" s="14" t="n">
        <v>46316</v>
      </c>
      <c r="G10" s="4"/>
    </row>
    <row r="11" customFormat="false" ht="28.35" hidden="false" customHeight="false" outlineLevel="0" collapsed="false">
      <c r="A11" s="4" t="s">
        <v>173</v>
      </c>
      <c r="B11" s="4" t="s">
        <v>452</v>
      </c>
      <c r="C11" s="4" t="s">
        <v>176</v>
      </c>
      <c r="D11" s="4" t="s">
        <v>445</v>
      </c>
      <c r="E11" s="4" t="s">
        <v>153</v>
      </c>
      <c r="F11" s="14" t="n">
        <v>46316</v>
      </c>
      <c r="G11" s="4"/>
    </row>
    <row r="12" customFormat="false" ht="55.2" hidden="false" customHeight="false" outlineLevel="0" collapsed="false">
      <c r="A12" s="4" t="s">
        <v>453</v>
      </c>
      <c r="B12" s="4" t="s">
        <v>454</v>
      </c>
      <c r="C12" s="4" t="s">
        <v>455</v>
      </c>
      <c r="D12" s="4" t="s">
        <v>456</v>
      </c>
      <c r="E12" s="4" t="s">
        <v>68</v>
      </c>
      <c r="F12" s="14" t="n">
        <v>46323</v>
      </c>
      <c r="G12" s="4" t="s">
        <v>457</v>
      </c>
    </row>
    <row r="13" customFormat="false" ht="55.2" hidden="false" customHeight="false" outlineLevel="0" collapsed="false">
      <c r="A13" s="4" t="s">
        <v>453</v>
      </c>
      <c r="B13" s="4" t="s">
        <v>458</v>
      </c>
      <c r="C13" s="4" t="s">
        <v>459</v>
      </c>
      <c r="D13" s="4" t="s">
        <v>456</v>
      </c>
      <c r="E13" s="4" t="s">
        <v>6</v>
      </c>
      <c r="F13" s="14" t="n">
        <v>46323</v>
      </c>
      <c r="G13" s="4" t="s">
        <v>460</v>
      </c>
    </row>
    <row r="14" customFormat="false" ht="55.2" hidden="false" customHeight="false" outlineLevel="0" collapsed="false">
      <c r="A14" s="4" t="s">
        <v>453</v>
      </c>
      <c r="B14" s="4" t="s">
        <v>461</v>
      </c>
      <c r="C14" s="4" t="s">
        <v>462</v>
      </c>
      <c r="D14" s="4" t="s">
        <v>456</v>
      </c>
      <c r="E14" s="4" t="s">
        <v>68</v>
      </c>
      <c r="F14" s="14" t="n">
        <v>46323</v>
      </c>
      <c r="G14" s="4" t="s">
        <v>463</v>
      </c>
    </row>
    <row r="15" customFormat="false" ht="55.2" hidden="false" customHeight="false" outlineLevel="0" collapsed="false">
      <c r="A15" s="4" t="s">
        <v>453</v>
      </c>
      <c r="B15" s="4" t="s">
        <v>464</v>
      </c>
      <c r="C15" s="4" t="s">
        <v>465</v>
      </c>
      <c r="D15" s="4" t="s">
        <v>456</v>
      </c>
      <c r="E15" s="4" t="s">
        <v>6</v>
      </c>
      <c r="F15" s="14" t="n">
        <v>46323</v>
      </c>
      <c r="G15" s="4" t="s">
        <v>466</v>
      </c>
    </row>
    <row r="16" customFormat="false" ht="55.2" hidden="false" customHeight="false" outlineLevel="0" collapsed="false">
      <c r="A16" s="4" t="s">
        <v>453</v>
      </c>
      <c r="B16" s="4" t="s">
        <v>467</v>
      </c>
      <c r="C16" s="4" t="s">
        <v>468</v>
      </c>
      <c r="D16" s="4" t="s">
        <v>456</v>
      </c>
      <c r="E16" s="4" t="s">
        <v>9</v>
      </c>
      <c r="F16" s="14" t="n">
        <v>46323</v>
      </c>
      <c r="G16" s="4" t="s">
        <v>469</v>
      </c>
    </row>
    <row r="17" customFormat="false" ht="55.2" hidden="false" customHeight="false" outlineLevel="0" collapsed="false">
      <c r="A17" s="4" t="s">
        <v>453</v>
      </c>
      <c r="B17" s="4" t="s">
        <v>470</v>
      </c>
      <c r="C17" s="4" t="s">
        <v>471</v>
      </c>
      <c r="D17" s="4" t="s">
        <v>456</v>
      </c>
      <c r="E17" s="4" t="s">
        <v>9</v>
      </c>
      <c r="F17" s="14" t="n">
        <v>46323</v>
      </c>
      <c r="G17" s="4" t="s">
        <v>472</v>
      </c>
    </row>
    <row r="18" customFormat="false" ht="68.65" hidden="false" customHeight="false" outlineLevel="0" collapsed="false">
      <c r="A18" s="4" t="s">
        <v>54</v>
      </c>
      <c r="B18" s="4" t="s">
        <v>473</v>
      </c>
      <c r="C18" s="4" t="s">
        <v>474</v>
      </c>
      <c r="D18" s="4" t="s">
        <v>475</v>
      </c>
      <c r="E18" s="4" t="s">
        <v>68</v>
      </c>
      <c r="F18" s="14" t="n">
        <v>46330</v>
      </c>
      <c r="G18" s="4" t="s">
        <v>476</v>
      </c>
    </row>
    <row r="19" customFormat="false" ht="55.2" hidden="false" customHeight="false" outlineLevel="0" collapsed="false">
      <c r="A19" s="4" t="s">
        <v>54</v>
      </c>
      <c r="B19" s="4" t="s">
        <v>477</v>
      </c>
      <c r="C19" s="4" t="s">
        <v>478</v>
      </c>
      <c r="D19" s="4" t="s">
        <v>475</v>
      </c>
      <c r="E19" s="4" t="s">
        <v>6</v>
      </c>
      <c r="F19" s="14" t="n">
        <v>46330</v>
      </c>
      <c r="G19" s="4" t="s">
        <v>479</v>
      </c>
    </row>
    <row r="20" customFormat="false" ht="68.65" hidden="false" customHeight="false" outlineLevel="0" collapsed="false">
      <c r="A20" s="4" t="s">
        <v>54</v>
      </c>
      <c r="B20" s="4" t="s">
        <v>480</v>
      </c>
      <c r="C20" s="4" t="s">
        <v>481</v>
      </c>
      <c r="D20" s="4" t="s">
        <v>475</v>
      </c>
      <c r="E20" s="4" t="s">
        <v>9</v>
      </c>
      <c r="F20" s="14" t="n">
        <v>46330</v>
      </c>
      <c r="G20" s="4" t="s">
        <v>482</v>
      </c>
    </row>
    <row r="21" customFormat="false" ht="68.65" hidden="false" customHeight="false" outlineLevel="0" collapsed="false">
      <c r="A21" s="4" t="s">
        <v>54</v>
      </c>
      <c r="B21" s="4" t="s">
        <v>483</v>
      </c>
      <c r="C21" s="4" t="s">
        <v>484</v>
      </c>
      <c r="D21" s="4" t="s">
        <v>475</v>
      </c>
      <c r="E21" s="4" t="s">
        <v>9</v>
      </c>
      <c r="F21" s="14" t="n">
        <v>46330</v>
      </c>
      <c r="G21" s="4" t="s">
        <v>485</v>
      </c>
    </row>
    <row r="22" customFormat="false" ht="55.2" hidden="false" customHeight="false" outlineLevel="0" collapsed="false">
      <c r="A22" s="4" t="s">
        <v>54</v>
      </c>
      <c r="B22" s="4" t="s">
        <v>486</v>
      </c>
      <c r="C22" s="4" t="s">
        <v>487</v>
      </c>
      <c r="D22" s="4" t="s">
        <v>475</v>
      </c>
      <c r="E22" s="4" t="s">
        <v>6</v>
      </c>
      <c r="F22" s="14" t="n">
        <v>46330</v>
      </c>
      <c r="G22" s="4" t="s">
        <v>488</v>
      </c>
    </row>
    <row r="23" customFormat="false" ht="55.2" hidden="false" customHeight="false" outlineLevel="0" collapsed="false">
      <c r="A23" s="4" t="s">
        <v>54</v>
      </c>
      <c r="B23" s="4" t="s">
        <v>489</v>
      </c>
      <c r="C23" s="4" t="s">
        <v>490</v>
      </c>
      <c r="D23" s="4" t="s">
        <v>491</v>
      </c>
      <c r="E23" s="4" t="s">
        <v>68</v>
      </c>
      <c r="F23" s="14" t="n">
        <v>46337</v>
      </c>
      <c r="G23" s="4" t="s">
        <v>492</v>
      </c>
    </row>
    <row r="24" customFormat="false" ht="68.65" hidden="false" customHeight="false" outlineLevel="0" collapsed="false">
      <c r="A24" s="4" t="s">
        <v>54</v>
      </c>
      <c r="B24" s="4" t="s">
        <v>493</v>
      </c>
      <c r="C24" s="4" t="s">
        <v>494</v>
      </c>
      <c r="D24" s="4" t="s">
        <v>491</v>
      </c>
      <c r="E24" s="4" t="s">
        <v>9</v>
      </c>
      <c r="F24" s="14" t="n">
        <v>46337</v>
      </c>
      <c r="G24" s="4" t="s">
        <v>495</v>
      </c>
    </row>
    <row r="25" customFormat="false" ht="55.2" hidden="false" customHeight="false" outlineLevel="0" collapsed="false">
      <c r="A25" s="4" t="s">
        <v>54</v>
      </c>
      <c r="B25" s="4" t="s">
        <v>496</v>
      </c>
      <c r="C25" s="4" t="s">
        <v>497</v>
      </c>
      <c r="D25" s="4" t="s">
        <v>491</v>
      </c>
      <c r="E25" s="4" t="s">
        <v>6</v>
      </c>
      <c r="F25" s="14" t="n">
        <v>46337</v>
      </c>
      <c r="G25" s="4" t="s">
        <v>498</v>
      </c>
    </row>
    <row r="26" customFormat="false" ht="55.2" hidden="false" customHeight="false" outlineLevel="0" collapsed="false">
      <c r="A26" s="4" t="s">
        <v>54</v>
      </c>
      <c r="B26" s="4" t="s">
        <v>499</v>
      </c>
      <c r="C26" s="4" t="s">
        <v>500</v>
      </c>
      <c r="D26" s="4" t="s">
        <v>491</v>
      </c>
      <c r="E26" s="4" t="s">
        <v>9</v>
      </c>
      <c r="F26" s="14" t="n">
        <v>46337</v>
      </c>
      <c r="G26" s="4" t="s">
        <v>501</v>
      </c>
    </row>
    <row r="27" customFormat="false" ht="68.65" hidden="false" customHeight="false" outlineLevel="0" collapsed="false">
      <c r="A27" s="4" t="s">
        <v>54</v>
      </c>
      <c r="B27" s="4" t="s">
        <v>502</v>
      </c>
      <c r="C27" s="4" t="s">
        <v>503</v>
      </c>
      <c r="D27" s="4" t="s">
        <v>491</v>
      </c>
      <c r="E27" s="4" t="s">
        <v>6</v>
      </c>
      <c r="F27" s="14" t="n">
        <v>46337</v>
      </c>
      <c r="G27" s="4" t="s">
        <v>504</v>
      </c>
    </row>
    <row r="28" customFormat="false" ht="55.2" hidden="false" customHeight="false" outlineLevel="0" collapsed="false">
      <c r="A28" s="4" t="s">
        <v>54</v>
      </c>
      <c r="B28" s="4" t="s">
        <v>505</v>
      </c>
      <c r="C28" s="4" t="s">
        <v>506</v>
      </c>
      <c r="D28" s="4" t="s">
        <v>507</v>
      </c>
      <c r="E28" s="4" t="s">
        <v>9</v>
      </c>
      <c r="F28" s="14" t="n">
        <v>46344</v>
      </c>
      <c r="G28" s="4" t="s">
        <v>508</v>
      </c>
    </row>
    <row r="29" customFormat="false" ht="55.2" hidden="false" customHeight="false" outlineLevel="0" collapsed="false">
      <c r="A29" s="4" t="s">
        <v>54</v>
      </c>
      <c r="B29" s="4" t="s">
        <v>509</v>
      </c>
      <c r="C29" s="4" t="s">
        <v>510</v>
      </c>
      <c r="D29" s="4" t="s">
        <v>507</v>
      </c>
      <c r="E29" s="4" t="s">
        <v>9</v>
      </c>
      <c r="F29" s="14" t="n">
        <v>46344</v>
      </c>
      <c r="G29" s="4" t="s">
        <v>511</v>
      </c>
    </row>
    <row r="30" customFormat="false" ht="55.2" hidden="false" customHeight="false" outlineLevel="0" collapsed="false">
      <c r="A30" s="4" t="s">
        <v>54</v>
      </c>
      <c r="B30" s="4" t="s">
        <v>512</v>
      </c>
      <c r="C30" s="4" t="s">
        <v>513</v>
      </c>
      <c r="D30" s="4" t="s">
        <v>507</v>
      </c>
      <c r="E30" s="4" t="s">
        <v>68</v>
      </c>
      <c r="F30" s="14" t="n">
        <v>46344</v>
      </c>
      <c r="G30" s="4" t="s">
        <v>514</v>
      </c>
    </row>
    <row r="31" customFormat="false" ht="55.2" hidden="false" customHeight="false" outlineLevel="0" collapsed="false">
      <c r="A31" s="4" t="s">
        <v>54</v>
      </c>
      <c r="B31" s="4" t="s">
        <v>515</v>
      </c>
      <c r="C31" s="4" t="s">
        <v>516</v>
      </c>
      <c r="D31" s="4" t="s">
        <v>507</v>
      </c>
      <c r="E31" s="4" t="s">
        <v>6</v>
      </c>
      <c r="F31" s="14" t="n">
        <v>46344</v>
      </c>
      <c r="G31" s="4" t="s">
        <v>517</v>
      </c>
    </row>
    <row r="32" customFormat="false" ht="55.2" hidden="false" customHeight="false" outlineLevel="0" collapsed="false">
      <c r="A32" s="4" t="s">
        <v>54</v>
      </c>
      <c r="B32" s="4" t="s">
        <v>518</v>
      </c>
      <c r="C32" s="4" t="s">
        <v>519</v>
      </c>
      <c r="D32" s="4" t="s">
        <v>507</v>
      </c>
      <c r="E32" s="4" t="s">
        <v>68</v>
      </c>
      <c r="F32" s="14" t="n">
        <v>46344</v>
      </c>
      <c r="G32" s="4" t="s">
        <v>520</v>
      </c>
    </row>
    <row r="33" customFormat="false" ht="55.2" hidden="false" customHeight="false" outlineLevel="0" collapsed="false">
      <c r="A33" s="4" t="s">
        <v>54</v>
      </c>
      <c r="B33" s="4" t="s">
        <v>521</v>
      </c>
      <c r="C33" s="4" t="s">
        <v>522</v>
      </c>
      <c r="D33" s="4" t="s">
        <v>507</v>
      </c>
      <c r="E33" s="4" t="s">
        <v>6</v>
      </c>
      <c r="F33" s="14" t="n">
        <v>46344</v>
      </c>
      <c r="G33" s="4" t="s">
        <v>523</v>
      </c>
    </row>
    <row r="34" customFormat="false" ht="55.2" hidden="false" customHeight="false" outlineLevel="0" collapsed="false">
      <c r="A34" s="4" t="s">
        <v>54</v>
      </c>
      <c r="B34" s="4" t="s">
        <v>524</v>
      </c>
      <c r="C34" s="4" t="s">
        <v>525</v>
      </c>
      <c r="D34" s="4" t="s">
        <v>526</v>
      </c>
      <c r="E34" s="4" t="s">
        <v>144</v>
      </c>
      <c r="F34" s="14"/>
      <c r="G34" s="4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528</v>
      </c>
    </row>
    <row r="3" customFormat="false" ht="15" hidden="false" customHeight="false" outlineLevel="0" collapsed="false">
      <c r="A3" s="3" t="s">
        <v>529</v>
      </c>
      <c r="B3" s="3" t="s">
        <v>530</v>
      </c>
    </row>
    <row r="4" customFormat="false" ht="48" hidden="false" customHeight="true" outlineLevel="0" collapsed="false">
      <c r="A4" s="4" t="s">
        <v>531</v>
      </c>
      <c r="B4" s="4" t="s">
        <v>532</v>
      </c>
    </row>
    <row r="5" customFormat="false" ht="48" hidden="false" customHeight="true" outlineLevel="0" collapsed="false">
      <c r="A5" s="4" t="s">
        <v>533</v>
      </c>
      <c r="B5" s="4" t="s">
        <v>534</v>
      </c>
    </row>
    <row r="6" customFormat="false" ht="48" hidden="false" customHeight="true" outlineLevel="0" collapsed="false">
      <c r="A6" s="4" t="s">
        <v>535</v>
      </c>
      <c r="B6" s="4" t="s">
        <v>536</v>
      </c>
    </row>
    <row r="7" customFormat="false" ht="48" hidden="false" customHeight="true" outlineLevel="0" collapsed="false">
      <c r="A7" s="4" t="s">
        <v>537</v>
      </c>
      <c r="B7" s="4" t="s">
        <v>538</v>
      </c>
    </row>
    <row r="8" customFormat="false" ht="48" hidden="false" customHeight="true" outlineLevel="0" collapsed="false">
      <c r="A8" s="4" t="s">
        <v>539</v>
      </c>
      <c r="B8" s="4" t="s">
        <v>540</v>
      </c>
    </row>
    <row r="9" customFormat="false" ht="48" hidden="false" customHeight="true" outlineLevel="0" collapsed="false">
      <c r="A9" s="4" t="s">
        <v>541</v>
      </c>
      <c r="B9" s="4" t="s">
        <v>542</v>
      </c>
    </row>
    <row r="10" customFormat="false" ht="48" hidden="false" customHeight="true" outlineLevel="0" collapsed="false">
      <c r="A10" s="4" t="s">
        <v>543</v>
      </c>
      <c r="B10" s="4" t="s">
        <v>544</v>
      </c>
    </row>
    <row r="11" customFormat="false" ht="48" hidden="false" customHeight="true" outlineLevel="0" collapsed="false">
      <c r="A11" s="4" t="s">
        <v>545</v>
      </c>
      <c r="B11" s="4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2026-10-21T18:26:39Z</dcterms:created>
  <dc:creator>openpyxl</dc:creator>
  <dc:description/>
  <dc:language>en-US</dc:language>
  <cp:lastModifiedBy/>
  <dcterms:modified xsi:type="dcterms:W3CDTF">2026-10-21T18:26:39Z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